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Transfer Folder\1. Master\1. Cash\4. Bond\2026\06. June\"/>
    </mc:Choice>
  </mc:AlternateContent>
  <xr:revisionPtr revIDLastSave="0" documentId="13_ncr:1_{D09571E9-C78E-4152-9B1D-400F79D85D98}" xr6:coauthVersionLast="47" xr6:coauthVersionMax="47" xr10:uidLastSave="{00000000-0000-0000-0000-000000000000}"/>
  <bookViews>
    <workbookView xWindow="-120" yWindow="-120" windowWidth="29040" windowHeight="15720" tabRatio="888" xr2:uid="{00000000-000D-0000-FFFF-FFFF00000000}"/>
  </bookViews>
  <sheets>
    <sheet name="WORKING" sheetId="25" r:id="rId1"/>
    <sheet name="PRICE" sheetId="30" r:id="rId2"/>
    <sheet name="Data" sheetId="31" r:id="rId3"/>
  </sheets>
  <definedNames>
    <definedName name="Crew_Bond_data">WORKING!$G$9:$G$61,WORKING!$I$9:$I$61,WORKING!$K$9:$K$61,WORKING!$M$9:$M$61,WORKING!$O$9:$O$61,WORKING!$Q$9:$Q$61,WORKING!$S$9:$S$61,WORKING!$U$9:$U$61,WORKING!$W$9:$W$61,WORKING!$Y$9:$Y$61,WORKING!$AA$9:$AA$61,WORKING!$AC$9:$AC$61,WORKING!$AE$9:$AE$61,WORKING!$AG$9:$AG$61,WORKING!$AI$9:$AI$61,WORKING!$AK$9:$AK$61,WORKING!$AM$9:$AM$61,WORKING!$AO$9:$AO$61,WORKING!$AQ$9:$AQ$61,WORKING!$AS$9:$AS$61,WORKING!$AU$9:$AU$61,WORKING!$AW$9:$AW$61</definedName>
    <definedName name="Crew_bond_money">WORKING!$H$9:$H$61,WORKING!$J$9:$J$61,WORKING!$L$9:$L$61,WORKING!$N$9:$N$61,WORKING!$P$9:$P$61,WORKING!$R$9:$R$61,WORKING!$T$9:$T$61,WORKING!$V$9:$V$61,WORKING!$X$9:$X$61,WORKING!$Z$9:$Z$61,WORKING!$AB$9:$AB$61,WORKING!$AD$9:$AD$61,WORKING!$AF$9:$AF$61,WORKING!$AH$9:$AH$61,WORKING!$AJ$9:$AJ$61,WORKING!$AL$9:$AL$61,WORKING!$AN$9:$AN$61,WORKING!$AP$9:$AP$61,WORKING!$AR$9:$AR$61,WORKING!$AT$9:$AT$61,WORKING!$AV$9:$AV$61,WORKING!$AX$9:$AX$61</definedName>
    <definedName name="IntroductionRead">Data!$L$2</definedName>
    <definedName name="Price">WORKING!$E$9:$E$61</definedName>
    <definedName name="_xlnm.Print_Area" localSheetId="2">Data!$A$1:$D$23</definedName>
    <definedName name="_xlnm.Print_Area" localSheetId="1">PRICE!$A$1:$H$67</definedName>
    <definedName name="_xlnm.Print_Area" localSheetId="0">WORKING!$G$7:$AB$63</definedName>
    <definedName name="Reps_data">WORKING!$BE$9:$BE$61,WORKING!$BG$9:$BG$61,WORKING!$BI$9:$BI$61,WORKING!$BK$9:$BK$61,WORKING!$BM$9:$BM$61,WORKING!$BO$9:$BO$61,WORKING!$BQ$9:$BQ$61,WORKING!$BS$9:$BS$61,WORKING!$BU$9:$BU$61,WORKING!$BW$9:$BW$61,WORKING!$BY$9:$BY$61</definedName>
    <definedName name="reps_money">WORKING!$BF$9:$BF$61,WORKING!$BH$9:$BH$61,WORKING!$BJ$9:$BJ$61,WORKING!$BL$9:$BL$61,WORKING!$BN$9:$BN$61,WORKING!$BP$9:$BP$61,WORKING!$BR$9:$BR$61,WORKING!$BT$9:$BT$61,WORKING!$BV$9:$BV$61,WORKING!$BX$9:$BX$61,WORKING!$BZ$9:$BZ$61</definedName>
    <definedName name="ROE">WORKING!$H$3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9" i="25" l="1"/>
  <c r="J9" i="25"/>
  <c r="L9" i="25"/>
  <c r="N9" i="25"/>
  <c r="P9" i="25"/>
  <c r="R9" i="25"/>
  <c r="T9" i="25"/>
  <c r="H10" i="25"/>
  <c r="J10" i="25"/>
  <c r="L10" i="25"/>
  <c r="N10" i="25"/>
  <c r="P10" i="25"/>
  <c r="R10" i="25"/>
  <c r="T10" i="25"/>
  <c r="H11" i="25"/>
  <c r="J11" i="25"/>
  <c r="L11" i="25"/>
  <c r="N11" i="25"/>
  <c r="P11" i="25"/>
  <c r="R11" i="25"/>
  <c r="T11" i="25"/>
  <c r="H12" i="25"/>
  <c r="J12" i="25"/>
  <c r="L12" i="25"/>
  <c r="N12" i="25"/>
  <c r="P12" i="25"/>
  <c r="R12" i="25"/>
  <c r="T12" i="25"/>
  <c r="H13" i="25"/>
  <c r="J13" i="25"/>
  <c r="L13" i="25"/>
  <c r="N13" i="25"/>
  <c r="P13" i="25"/>
  <c r="R13" i="25"/>
  <c r="T13" i="25"/>
  <c r="H14" i="25"/>
  <c r="J14" i="25"/>
  <c r="L14" i="25"/>
  <c r="N14" i="25"/>
  <c r="P14" i="25"/>
  <c r="R14" i="25"/>
  <c r="T14" i="25"/>
  <c r="H15" i="25"/>
  <c r="J15" i="25"/>
  <c r="L15" i="25"/>
  <c r="N15" i="25"/>
  <c r="P15" i="25"/>
  <c r="R15" i="25"/>
  <c r="T15" i="25"/>
  <c r="H16" i="25"/>
  <c r="J16" i="25"/>
  <c r="L16" i="25"/>
  <c r="N16" i="25"/>
  <c r="P16" i="25"/>
  <c r="R16" i="25"/>
  <c r="T16" i="25"/>
  <c r="H17" i="25"/>
  <c r="J17" i="25"/>
  <c r="L17" i="25"/>
  <c r="N17" i="25"/>
  <c r="P17" i="25"/>
  <c r="R17" i="25"/>
  <c r="T17" i="25"/>
  <c r="H18" i="25"/>
  <c r="J18" i="25"/>
  <c r="L18" i="25"/>
  <c r="N18" i="25"/>
  <c r="P18" i="25"/>
  <c r="R18" i="25"/>
  <c r="T18" i="25"/>
  <c r="H19" i="25"/>
  <c r="J19" i="25"/>
  <c r="L19" i="25"/>
  <c r="N19" i="25"/>
  <c r="P19" i="25"/>
  <c r="R19" i="25"/>
  <c r="T19" i="25"/>
  <c r="H20" i="25"/>
  <c r="J20" i="25"/>
  <c r="L20" i="25"/>
  <c r="N20" i="25"/>
  <c r="P20" i="25"/>
  <c r="R20" i="25"/>
  <c r="T20" i="25"/>
  <c r="H21" i="25"/>
  <c r="J21" i="25"/>
  <c r="L21" i="25"/>
  <c r="N21" i="25"/>
  <c r="P21" i="25"/>
  <c r="R21" i="25"/>
  <c r="T21" i="25"/>
  <c r="H22" i="25"/>
  <c r="J22" i="25"/>
  <c r="L22" i="25"/>
  <c r="N22" i="25"/>
  <c r="P22" i="25"/>
  <c r="R22" i="25"/>
  <c r="T22" i="25"/>
  <c r="H23" i="25"/>
  <c r="J23" i="25"/>
  <c r="L23" i="25"/>
  <c r="N23" i="25"/>
  <c r="P23" i="25"/>
  <c r="R23" i="25"/>
  <c r="T23" i="25"/>
  <c r="H24" i="25"/>
  <c r="J24" i="25"/>
  <c r="L24" i="25"/>
  <c r="N24" i="25"/>
  <c r="P24" i="25"/>
  <c r="R24" i="25"/>
  <c r="T24" i="25"/>
  <c r="H25" i="25"/>
  <c r="J25" i="25"/>
  <c r="L25" i="25"/>
  <c r="N25" i="25"/>
  <c r="P25" i="25"/>
  <c r="R25" i="25"/>
  <c r="T25" i="25"/>
  <c r="H26" i="25"/>
  <c r="J26" i="25"/>
  <c r="L26" i="25"/>
  <c r="N26" i="25"/>
  <c r="P26" i="25"/>
  <c r="R26" i="25"/>
  <c r="T26" i="25"/>
  <c r="H27" i="25"/>
  <c r="J27" i="25"/>
  <c r="L27" i="25"/>
  <c r="N27" i="25"/>
  <c r="P27" i="25"/>
  <c r="R27" i="25"/>
  <c r="T27" i="25"/>
  <c r="H28" i="25"/>
  <c r="J28" i="25"/>
  <c r="L28" i="25"/>
  <c r="N28" i="25"/>
  <c r="P28" i="25"/>
  <c r="R28" i="25"/>
  <c r="T28" i="25"/>
  <c r="H29" i="25"/>
  <c r="J29" i="25"/>
  <c r="L29" i="25"/>
  <c r="N29" i="25"/>
  <c r="P29" i="25"/>
  <c r="R29" i="25"/>
  <c r="T29" i="25"/>
  <c r="H30" i="25"/>
  <c r="J30" i="25"/>
  <c r="L30" i="25"/>
  <c r="N30" i="25"/>
  <c r="P30" i="25"/>
  <c r="R30" i="25"/>
  <c r="T30" i="25"/>
  <c r="H31" i="25"/>
  <c r="J31" i="25"/>
  <c r="L31" i="25"/>
  <c r="N31" i="25"/>
  <c r="P31" i="25"/>
  <c r="R31" i="25"/>
  <c r="T31" i="25"/>
  <c r="H32" i="25"/>
  <c r="J32" i="25"/>
  <c r="L32" i="25"/>
  <c r="N32" i="25"/>
  <c r="P32" i="25"/>
  <c r="R32" i="25"/>
  <c r="T32" i="25"/>
  <c r="H33" i="25"/>
  <c r="J33" i="25"/>
  <c r="L33" i="25"/>
  <c r="N33" i="25"/>
  <c r="P33" i="25"/>
  <c r="R33" i="25"/>
  <c r="T33" i="25"/>
  <c r="H34" i="25"/>
  <c r="J34" i="25"/>
  <c r="L34" i="25"/>
  <c r="N34" i="25"/>
  <c r="P34" i="25"/>
  <c r="R34" i="25"/>
  <c r="T34" i="25"/>
  <c r="H35" i="25"/>
  <c r="J35" i="25"/>
  <c r="L35" i="25"/>
  <c r="N35" i="25"/>
  <c r="P35" i="25"/>
  <c r="R35" i="25"/>
  <c r="T35" i="25"/>
  <c r="H36" i="25"/>
  <c r="J36" i="25"/>
  <c r="L36" i="25"/>
  <c r="N36" i="25"/>
  <c r="P36" i="25"/>
  <c r="R36" i="25"/>
  <c r="T36" i="25"/>
  <c r="H37" i="25"/>
  <c r="J37" i="25"/>
  <c r="L37" i="25"/>
  <c r="N37" i="25"/>
  <c r="P37" i="25"/>
  <c r="R37" i="25"/>
  <c r="T37" i="25"/>
  <c r="H38" i="25"/>
  <c r="J38" i="25"/>
  <c r="L38" i="25"/>
  <c r="N38" i="25"/>
  <c r="P38" i="25"/>
  <c r="R38" i="25"/>
  <c r="T38" i="25"/>
  <c r="H39" i="25"/>
  <c r="J39" i="25"/>
  <c r="L39" i="25"/>
  <c r="N39" i="25"/>
  <c r="P39" i="25"/>
  <c r="R39" i="25"/>
  <c r="T39" i="25"/>
  <c r="H40" i="25"/>
  <c r="J40" i="25"/>
  <c r="L40" i="25"/>
  <c r="N40" i="25"/>
  <c r="P40" i="25"/>
  <c r="R40" i="25"/>
  <c r="T40" i="25"/>
  <c r="H41" i="25"/>
  <c r="J41" i="25"/>
  <c r="L41" i="25"/>
  <c r="N41" i="25"/>
  <c r="P41" i="25"/>
  <c r="R41" i="25"/>
  <c r="T41" i="25"/>
  <c r="H42" i="25"/>
  <c r="J42" i="25"/>
  <c r="L42" i="25"/>
  <c r="N42" i="25"/>
  <c r="P42" i="25"/>
  <c r="R42" i="25"/>
  <c r="T42" i="25"/>
  <c r="H43" i="25"/>
  <c r="J43" i="25"/>
  <c r="L43" i="25"/>
  <c r="N43" i="25"/>
  <c r="P43" i="25"/>
  <c r="R43" i="25"/>
  <c r="T43" i="25"/>
  <c r="H44" i="25"/>
  <c r="J44" i="25"/>
  <c r="L44" i="25"/>
  <c r="N44" i="25"/>
  <c r="P44" i="25"/>
  <c r="R44" i="25"/>
  <c r="T44" i="25"/>
  <c r="V9" i="25" l="1"/>
  <c r="X9" i="25"/>
  <c r="Z9" i="25"/>
  <c r="AB9" i="25"/>
  <c r="AD9" i="25"/>
  <c r="AF9" i="25"/>
  <c r="V10" i="25"/>
  <c r="X10" i="25"/>
  <c r="Z10" i="25"/>
  <c r="AB10" i="25"/>
  <c r="AD10" i="25"/>
  <c r="AF10" i="25"/>
  <c r="V11" i="25"/>
  <c r="X11" i="25"/>
  <c r="Z11" i="25"/>
  <c r="AB11" i="25"/>
  <c r="AD11" i="25"/>
  <c r="AF11" i="25"/>
  <c r="V12" i="25"/>
  <c r="X12" i="25"/>
  <c r="Z12" i="25"/>
  <c r="AB12" i="25"/>
  <c r="AD12" i="25"/>
  <c r="AF12" i="25"/>
  <c r="V13" i="25"/>
  <c r="X13" i="25"/>
  <c r="Z13" i="25"/>
  <c r="AB13" i="25"/>
  <c r="AD13" i="25"/>
  <c r="AF13" i="25"/>
  <c r="V14" i="25"/>
  <c r="X14" i="25"/>
  <c r="Z14" i="25"/>
  <c r="AB14" i="25"/>
  <c r="AD14" i="25"/>
  <c r="AF14" i="25"/>
  <c r="V15" i="25"/>
  <c r="X15" i="25"/>
  <c r="Z15" i="25"/>
  <c r="AB15" i="25"/>
  <c r="AD15" i="25"/>
  <c r="AF15" i="25"/>
  <c r="V16" i="25"/>
  <c r="X16" i="25"/>
  <c r="Z16" i="25"/>
  <c r="AB16" i="25"/>
  <c r="AD16" i="25"/>
  <c r="AF16" i="25"/>
  <c r="V17" i="25"/>
  <c r="X17" i="25"/>
  <c r="Z17" i="25"/>
  <c r="AB17" i="25"/>
  <c r="AD17" i="25"/>
  <c r="AF17" i="25"/>
  <c r="V18" i="25"/>
  <c r="X18" i="25"/>
  <c r="Z18" i="25"/>
  <c r="AB18" i="25"/>
  <c r="AD18" i="25"/>
  <c r="AF18" i="25"/>
  <c r="V19" i="25"/>
  <c r="X19" i="25"/>
  <c r="Z19" i="25"/>
  <c r="AB19" i="25"/>
  <c r="AD19" i="25"/>
  <c r="AF19" i="25"/>
  <c r="V20" i="25"/>
  <c r="X20" i="25"/>
  <c r="Z20" i="25"/>
  <c r="AB20" i="25"/>
  <c r="AD20" i="25"/>
  <c r="AF20" i="25"/>
  <c r="V21" i="25"/>
  <c r="X21" i="25"/>
  <c r="Z21" i="25"/>
  <c r="AB21" i="25"/>
  <c r="AD21" i="25"/>
  <c r="AF21" i="25"/>
  <c r="V22" i="25"/>
  <c r="X22" i="25"/>
  <c r="Z22" i="25"/>
  <c r="AB22" i="25"/>
  <c r="AD22" i="25"/>
  <c r="AF22" i="25"/>
  <c r="V23" i="25"/>
  <c r="X23" i="25"/>
  <c r="Z23" i="25"/>
  <c r="AB23" i="25"/>
  <c r="AD23" i="25"/>
  <c r="AF23" i="25"/>
  <c r="V24" i="25"/>
  <c r="X24" i="25"/>
  <c r="Z24" i="25"/>
  <c r="AB24" i="25"/>
  <c r="AD24" i="25"/>
  <c r="AF24" i="25"/>
  <c r="V25" i="25"/>
  <c r="X25" i="25"/>
  <c r="Z25" i="25"/>
  <c r="AB25" i="25"/>
  <c r="AD25" i="25"/>
  <c r="AF25" i="25"/>
  <c r="V26" i="25"/>
  <c r="X26" i="25"/>
  <c r="Z26" i="25"/>
  <c r="AB26" i="25"/>
  <c r="AD26" i="25"/>
  <c r="AF26" i="25"/>
  <c r="V27" i="25"/>
  <c r="X27" i="25"/>
  <c r="Z27" i="25"/>
  <c r="AB27" i="25"/>
  <c r="AD27" i="25"/>
  <c r="AF27" i="25"/>
  <c r="V28" i="25"/>
  <c r="X28" i="25"/>
  <c r="Z28" i="25"/>
  <c r="AB28" i="25"/>
  <c r="AD28" i="25"/>
  <c r="AF28" i="25"/>
  <c r="V29" i="25"/>
  <c r="X29" i="25"/>
  <c r="Z29" i="25"/>
  <c r="AB29" i="25"/>
  <c r="AD29" i="25"/>
  <c r="AF29" i="25"/>
  <c r="V30" i="25"/>
  <c r="X30" i="25"/>
  <c r="Z30" i="25"/>
  <c r="AB30" i="25"/>
  <c r="AD30" i="25"/>
  <c r="AF30" i="25"/>
  <c r="V31" i="25"/>
  <c r="X31" i="25"/>
  <c r="Z31" i="25"/>
  <c r="AB31" i="25"/>
  <c r="AD31" i="25"/>
  <c r="AF31" i="25"/>
  <c r="V32" i="25"/>
  <c r="X32" i="25"/>
  <c r="Z32" i="25"/>
  <c r="AB32" i="25"/>
  <c r="AD32" i="25"/>
  <c r="AF32" i="25"/>
  <c r="V33" i="25"/>
  <c r="X33" i="25"/>
  <c r="Z33" i="25"/>
  <c r="AB33" i="25"/>
  <c r="AD33" i="25"/>
  <c r="AF33" i="25"/>
  <c r="V34" i="25"/>
  <c r="X34" i="25"/>
  <c r="Z34" i="25"/>
  <c r="AB34" i="25"/>
  <c r="AD34" i="25"/>
  <c r="AF34" i="25"/>
  <c r="V35" i="25"/>
  <c r="X35" i="25"/>
  <c r="Z35" i="25"/>
  <c r="AB35" i="25"/>
  <c r="AD35" i="25"/>
  <c r="AF35" i="25"/>
  <c r="V36" i="25"/>
  <c r="X36" i="25"/>
  <c r="Z36" i="25"/>
  <c r="AB36" i="25"/>
  <c r="AD36" i="25"/>
  <c r="AF36" i="25"/>
  <c r="V37" i="25"/>
  <c r="X37" i="25"/>
  <c r="Z37" i="25"/>
  <c r="AB37" i="25"/>
  <c r="AD37" i="25"/>
  <c r="AF37" i="25"/>
  <c r="V38" i="25"/>
  <c r="X38" i="25"/>
  <c r="Z38" i="25"/>
  <c r="AB38" i="25"/>
  <c r="AD38" i="25"/>
  <c r="AF38" i="25"/>
  <c r="V39" i="25"/>
  <c r="X39" i="25"/>
  <c r="Z39" i="25"/>
  <c r="AB39" i="25"/>
  <c r="AD39" i="25"/>
  <c r="AF39" i="25"/>
  <c r="V40" i="25"/>
  <c r="X40" i="25"/>
  <c r="Z40" i="25"/>
  <c r="AB40" i="25"/>
  <c r="AD40" i="25"/>
  <c r="AF40" i="25"/>
  <c r="V41" i="25"/>
  <c r="X41" i="25"/>
  <c r="Z41" i="25"/>
  <c r="AB41" i="25"/>
  <c r="AD41" i="25"/>
  <c r="AF41" i="25"/>
  <c r="V42" i="25"/>
  <c r="X42" i="25"/>
  <c r="Z42" i="25"/>
  <c r="AB42" i="25"/>
  <c r="AD42" i="25"/>
  <c r="AF42" i="25"/>
  <c r="V43" i="25"/>
  <c r="X43" i="25"/>
  <c r="Z43" i="25"/>
  <c r="AB43" i="25"/>
  <c r="AD43" i="25"/>
  <c r="AF43" i="25"/>
  <c r="V44" i="25"/>
  <c r="X44" i="25"/>
  <c r="Z44" i="25"/>
  <c r="AB44" i="25"/>
  <c r="AD44" i="25"/>
  <c r="AF44" i="25"/>
  <c r="AW8" i="25" l="1"/>
  <c r="AU8" i="25"/>
  <c r="AS8" i="25"/>
  <c r="AQ8" i="25"/>
  <c r="AO8" i="25"/>
  <c r="AM8" i="25"/>
  <c r="AK8" i="25"/>
  <c r="AI8" i="25"/>
  <c r="AG8" i="25"/>
  <c r="AE8" i="25"/>
  <c r="AC8" i="25"/>
  <c r="AA8" i="25"/>
  <c r="Y8" i="25"/>
  <c r="W8" i="25"/>
  <c r="AW7" i="25"/>
  <c r="AU7" i="25"/>
  <c r="AS7" i="25"/>
  <c r="AQ7" i="25"/>
  <c r="AO7" i="25"/>
  <c r="AM7" i="25"/>
  <c r="AK7" i="25"/>
  <c r="AI7" i="25"/>
  <c r="AG7" i="25"/>
  <c r="AE7" i="25"/>
  <c r="AC7" i="25"/>
  <c r="AA7" i="25"/>
  <c r="Y7" i="25"/>
  <c r="W7" i="25"/>
  <c r="U7" i="25"/>
  <c r="S7" i="25"/>
  <c r="Q7" i="25"/>
  <c r="O7" i="25"/>
  <c r="M7" i="25"/>
  <c r="K7" i="25"/>
  <c r="I7" i="25"/>
  <c r="U8" i="25"/>
  <c r="S8" i="25"/>
  <c r="Q8" i="25"/>
  <c r="O8" i="25"/>
  <c r="M8" i="25"/>
  <c r="K8" i="25"/>
  <c r="I8" i="25"/>
  <c r="G8" i="25"/>
  <c r="G7" i="25"/>
  <c r="BY8" i="25"/>
  <c r="BW8" i="25"/>
  <c r="BU8" i="25"/>
  <c r="BS8" i="25"/>
  <c r="BQ8" i="25"/>
  <c r="BO8" i="25"/>
  <c r="BM8" i="25"/>
  <c r="BK8" i="25"/>
  <c r="BI8" i="25"/>
  <c r="BG8" i="25"/>
  <c r="BE8" i="25" l="1"/>
  <c r="BY7" i="25"/>
  <c r="BW7" i="25"/>
  <c r="BU7" i="25"/>
  <c r="BS7" i="25"/>
  <c r="BQ7" i="25"/>
  <c r="BO7" i="25"/>
  <c r="BM7" i="25"/>
  <c r="BK7" i="25"/>
  <c r="BI7" i="25"/>
  <c r="BG7" i="25"/>
  <c r="BE7" i="25"/>
  <c r="BR32" i="25"/>
  <c r="J45" i="25"/>
  <c r="J46" i="25"/>
  <c r="J47" i="25"/>
  <c r="J48" i="25"/>
  <c r="J49" i="25"/>
  <c r="J50" i="25"/>
  <c r="J51" i="25"/>
  <c r="J52" i="25"/>
  <c r="J53" i="25"/>
  <c r="J54" i="25"/>
  <c r="J55" i="25"/>
  <c r="J56" i="25"/>
  <c r="J57" i="25"/>
  <c r="J58" i="25"/>
  <c r="J59" i="25"/>
  <c r="J60" i="25"/>
  <c r="J61" i="25"/>
  <c r="BP20" i="25"/>
  <c r="BR19" i="25"/>
  <c r="BX18" i="25"/>
  <c r="BZ23" i="25"/>
  <c r="BT21" i="25"/>
  <c r="BP41" i="25"/>
  <c r="BP48" i="25"/>
  <c r="BX50" i="25"/>
  <c r="CB61" i="25"/>
  <c r="CC61" i="25" s="1"/>
  <c r="CB60" i="25"/>
  <c r="CC60" i="25" s="1"/>
  <c r="CB59" i="25"/>
  <c r="CC59" i="25" s="1"/>
  <c r="CB58" i="25"/>
  <c r="CC58" i="25" s="1"/>
  <c r="CB57" i="25"/>
  <c r="CC57" i="25" s="1"/>
  <c r="CB56" i="25"/>
  <c r="CC56" i="25" s="1"/>
  <c r="CB55" i="25"/>
  <c r="CC55" i="25" s="1"/>
  <c r="CB54" i="25"/>
  <c r="CC54" i="25" s="1"/>
  <c r="CB53" i="25"/>
  <c r="CC53" i="25" s="1"/>
  <c r="CB52" i="25"/>
  <c r="CC52" i="25" s="1"/>
  <c r="CB51" i="25"/>
  <c r="CC51" i="25" s="1"/>
  <c r="CB50" i="25"/>
  <c r="CB49" i="25"/>
  <c r="CC49" i="25" s="1"/>
  <c r="CB48" i="25"/>
  <c r="CB47" i="25"/>
  <c r="CC47" i="25" s="1"/>
  <c r="CB46" i="25"/>
  <c r="CC46" i="25" s="1"/>
  <c r="CB45" i="25"/>
  <c r="CC45" i="25" s="1"/>
  <c r="CB44" i="25"/>
  <c r="CC44" i="25" s="1"/>
  <c r="CB43" i="25"/>
  <c r="CC43" i="25" s="1"/>
  <c r="CB42" i="25"/>
  <c r="CC42" i="25" s="1"/>
  <c r="CB41" i="25"/>
  <c r="CB40" i="25"/>
  <c r="CC40" i="25" s="1"/>
  <c r="CB39" i="25"/>
  <c r="CC39" i="25" s="1"/>
  <c r="CB38" i="25"/>
  <c r="CC38" i="25" s="1"/>
  <c r="CB37" i="25"/>
  <c r="CC37" i="25" s="1"/>
  <c r="CB36" i="25"/>
  <c r="CC36" i="25" s="1"/>
  <c r="CB35" i="25"/>
  <c r="CC35" i="25" s="1"/>
  <c r="CB34" i="25"/>
  <c r="CC34" i="25" s="1"/>
  <c r="CB33" i="25"/>
  <c r="CC33" i="25" s="1"/>
  <c r="CB32" i="25"/>
  <c r="CB31" i="25"/>
  <c r="CC31" i="25" s="1"/>
  <c r="CB30" i="25"/>
  <c r="CC30" i="25" s="1"/>
  <c r="CB29" i="25"/>
  <c r="CC29" i="25" s="1"/>
  <c r="CB28" i="25"/>
  <c r="CC28" i="25" s="1"/>
  <c r="CB27" i="25"/>
  <c r="CC27" i="25" s="1"/>
  <c r="CB26" i="25"/>
  <c r="CC26" i="25" s="1"/>
  <c r="CB25" i="25"/>
  <c r="CC25" i="25" s="1"/>
  <c r="CB24" i="25"/>
  <c r="CC24" i="25" s="1"/>
  <c r="CB23" i="25"/>
  <c r="CC23" i="25" s="1"/>
  <c r="CB22" i="25"/>
  <c r="CC22" i="25" s="1"/>
  <c r="CB21" i="25"/>
  <c r="CC21" i="25" s="1"/>
  <c r="CB20" i="25"/>
  <c r="CB19" i="25"/>
  <c r="CB18" i="25"/>
  <c r="CB17" i="25"/>
  <c r="CC17" i="25" s="1"/>
  <c r="CB16" i="25"/>
  <c r="CC16" i="25" s="1"/>
  <c r="CB15" i="25"/>
  <c r="CC15" i="25" s="1"/>
  <c r="CB14" i="25"/>
  <c r="CC14" i="25" s="1"/>
  <c r="CB13" i="25"/>
  <c r="CC13" i="25" s="1"/>
  <c r="CB12" i="25"/>
  <c r="CC12" i="25" s="1"/>
  <c r="CB11" i="25"/>
  <c r="CC11" i="25" s="1"/>
  <c r="CB10" i="25"/>
  <c r="CC10" i="25" s="1"/>
  <c r="CB9" i="25"/>
  <c r="BZ61" i="25"/>
  <c r="BZ60" i="25"/>
  <c r="BZ59" i="25"/>
  <c r="BZ58" i="25"/>
  <c r="BZ57" i="25"/>
  <c r="BZ56" i="25"/>
  <c r="BZ55" i="25"/>
  <c r="BZ54" i="25"/>
  <c r="BZ53" i="25"/>
  <c r="BZ52" i="25"/>
  <c r="BZ51" i="25"/>
  <c r="BZ49" i="25"/>
  <c r="BZ47" i="25"/>
  <c r="BZ46" i="25"/>
  <c r="BZ45" i="25"/>
  <c r="BZ44" i="25"/>
  <c r="BZ43" i="25"/>
  <c r="BZ42" i="25"/>
  <c r="BZ40" i="25"/>
  <c r="BZ39" i="25"/>
  <c r="BZ38" i="25"/>
  <c r="BZ37" i="25"/>
  <c r="BZ36" i="25"/>
  <c r="BZ35" i="25"/>
  <c r="BZ34" i="25"/>
  <c r="BZ33" i="25"/>
  <c r="BZ31" i="25"/>
  <c r="BZ30" i="25"/>
  <c r="BZ29" i="25"/>
  <c r="BZ28" i="25"/>
  <c r="BZ27" i="25"/>
  <c r="BZ26" i="25"/>
  <c r="BZ25" i="25"/>
  <c r="BZ24" i="25"/>
  <c r="BZ22" i="25"/>
  <c r="BZ17" i="25"/>
  <c r="BZ16" i="25"/>
  <c r="BZ15" i="25"/>
  <c r="BZ14" i="25"/>
  <c r="BZ13" i="25"/>
  <c r="BZ12" i="25"/>
  <c r="BZ11" i="25"/>
  <c r="BZ10" i="25"/>
  <c r="BZ9" i="25"/>
  <c r="BX61" i="25"/>
  <c r="BX60" i="25"/>
  <c r="BX59" i="25"/>
  <c r="BX58" i="25"/>
  <c r="BX57" i="25"/>
  <c r="BX56" i="25"/>
  <c r="BX55" i="25"/>
  <c r="BX54" i="25"/>
  <c r="BX53" i="25"/>
  <c r="BX52" i="25"/>
  <c r="BX51" i="25"/>
  <c r="BX49" i="25"/>
  <c r="BX47" i="25"/>
  <c r="BX46" i="25"/>
  <c r="BX45" i="25"/>
  <c r="BX44" i="25"/>
  <c r="BX43" i="25"/>
  <c r="BX42" i="25"/>
  <c r="BX40" i="25"/>
  <c r="BX39" i="25"/>
  <c r="BX38" i="25"/>
  <c r="BX37" i="25"/>
  <c r="BX36" i="25"/>
  <c r="BX35" i="25"/>
  <c r="BX34" i="25"/>
  <c r="BX33" i="25"/>
  <c r="BX31" i="25"/>
  <c r="BX30" i="25"/>
  <c r="BX29" i="25"/>
  <c r="BX28" i="25"/>
  <c r="BX27" i="25"/>
  <c r="BX26" i="25"/>
  <c r="BX25" i="25"/>
  <c r="BX24" i="25"/>
  <c r="BX22" i="25"/>
  <c r="BX17" i="25"/>
  <c r="BX16" i="25"/>
  <c r="BX15" i="25"/>
  <c r="BX14" i="25"/>
  <c r="BX13" i="25"/>
  <c r="BX12" i="25"/>
  <c r="BX11" i="25"/>
  <c r="BX10" i="25"/>
  <c r="BX9" i="25"/>
  <c r="BV61" i="25"/>
  <c r="BV60" i="25"/>
  <c r="BV59" i="25"/>
  <c r="BV58" i="25"/>
  <c r="BV57" i="25"/>
  <c r="BV56" i="25"/>
  <c r="BV55" i="25"/>
  <c r="BV54" i="25"/>
  <c r="BV53" i="25"/>
  <c r="BV52" i="25"/>
  <c r="BV51" i="25"/>
  <c r="BV49" i="25"/>
  <c r="BV48" i="25"/>
  <c r="BV47" i="25"/>
  <c r="BV46" i="25"/>
  <c r="BV45" i="25"/>
  <c r="BV44" i="25"/>
  <c r="BV43" i="25"/>
  <c r="BV42" i="25"/>
  <c r="BV40" i="25"/>
  <c r="BV39" i="25"/>
  <c r="BV38" i="25"/>
  <c r="BV37" i="25"/>
  <c r="BV36" i="25"/>
  <c r="BV35" i="25"/>
  <c r="BV34" i="25"/>
  <c r="BV33" i="25"/>
  <c r="BV31" i="25"/>
  <c r="BV30" i="25"/>
  <c r="BV29" i="25"/>
  <c r="BV28" i="25"/>
  <c r="BV27" i="25"/>
  <c r="BV26" i="25"/>
  <c r="BV25" i="25"/>
  <c r="BV24" i="25"/>
  <c r="BV22" i="25"/>
  <c r="BV21" i="25"/>
  <c r="BV17" i="25"/>
  <c r="BV16" i="25"/>
  <c r="BV15" i="25"/>
  <c r="BV14" i="25"/>
  <c r="BV13" i="25"/>
  <c r="BV12" i="25"/>
  <c r="BV11" i="25"/>
  <c r="BV10" i="25"/>
  <c r="BV9" i="25"/>
  <c r="BT61" i="25"/>
  <c r="BT60" i="25"/>
  <c r="BT59" i="25"/>
  <c r="BT58" i="25"/>
  <c r="BT57" i="25"/>
  <c r="BT56" i="25"/>
  <c r="BT55" i="25"/>
  <c r="BT54" i="25"/>
  <c r="BT53" i="25"/>
  <c r="BT52" i="25"/>
  <c r="BT51" i="25"/>
  <c r="BT50" i="25"/>
  <c r="BT49" i="25"/>
  <c r="BT47" i="25"/>
  <c r="BT46" i="25"/>
  <c r="BT45" i="25"/>
  <c r="BT44" i="25"/>
  <c r="BT43" i="25"/>
  <c r="BT42" i="25"/>
  <c r="BT40" i="25"/>
  <c r="BT39" i="25"/>
  <c r="BT38" i="25"/>
  <c r="BT37" i="25"/>
  <c r="BT36" i="25"/>
  <c r="BT35" i="25"/>
  <c r="BT34" i="25"/>
  <c r="BT33" i="25"/>
  <c r="BT31" i="25"/>
  <c r="BT30" i="25"/>
  <c r="BT29" i="25"/>
  <c r="BT28" i="25"/>
  <c r="BT27" i="25"/>
  <c r="BT26" i="25"/>
  <c r="BT25" i="25"/>
  <c r="BT24" i="25"/>
  <c r="BT23" i="25"/>
  <c r="BT22" i="25"/>
  <c r="BT19" i="25"/>
  <c r="BT17" i="25"/>
  <c r="BT16" i="25"/>
  <c r="BT15" i="25"/>
  <c r="BT14" i="25"/>
  <c r="BT13" i="25"/>
  <c r="BT12" i="25"/>
  <c r="BT11" i="25"/>
  <c r="BT10" i="25"/>
  <c r="BT9" i="25"/>
  <c r="BR61" i="25"/>
  <c r="BR60" i="25"/>
  <c r="BR59" i="25"/>
  <c r="BR58" i="25"/>
  <c r="BR57" i="25"/>
  <c r="BR56" i="25"/>
  <c r="BR55" i="25"/>
  <c r="BR54" i="25"/>
  <c r="BR53" i="25"/>
  <c r="BR52" i="25"/>
  <c r="BR51" i="25"/>
  <c r="BR50" i="25"/>
  <c r="BR49" i="25"/>
  <c r="BR48" i="25"/>
  <c r="BR47" i="25"/>
  <c r="BR46" i="25"/>
  <c r="BR45" i="25"/>
  <c r="BR44" i="25"/>
  <c r="BR43" i="25"/>
  <c r="BR42" i="25"/>
  <c r="BR40" i="25"/>
  <c r="BR39" i="25"/>
  <c r="BR38" i="25"/>
  <c r="BR37" i="25"/>
  <c r="BR36" i="25"/>
  <c r="BR35" i="25"/>
  <c r="BR34" i="25"/>
  <c r="BR33" i="25"/>
  <c r="BR31" i="25"/>
  <c r="BR30" i="25"/>
  <c r="BR29" i="25"/>
  <c r="BR28" i="25"/>
  <c r="BR27" i="25"/>
  <c r="BR26" i="25"/>
  <c r="BR25" i="25"/>
  <c r="BR24" i="25"/>
  <c r="BR22" i="25"/>
  <c r="BR21" i="25"/>
  <c r="BR17" i="25"/>
  <c r="BR16" i="25"/>
  <c r="BR15" i="25"/>
  <c r="BR14" i="25"/>
  <c r="BR13" i="25"/>
  <c r="BR12" i="25"/>
  <c r="BR11" i="25"/>
  <c r="BR10" i="25"/>
  <c r="BR9" i="25"/>
  <c r="BP61" i="25"/>
  <c r="BP60" i="25"/>
  <c r="BP59" i="25"/>
  <c r="BP58" i="25"/>
  <c r="BP57" i="25"/>
  <c r="BP56" i="25"/>
  <c r="BP55" i="25"/>
  <c r="BP54" i="25"/>
  <c r="BP53" i="25"/>
  <c r="BP52" i="25"/>
  <c r="BP51" i="25"/>
  <c r="BP50" i="25"/>
  <c r="BP49" i="25"/>
  <c r="BP47" i="25"/>
  <c r="BP46" i="25"/>
  <c r="BP45" i="25"/>
  <c r="BP44" i="25"/>
  <c r="BP43" i="25"/>
  <c r="BP42" i="25"/>
  <c r="BP40" i="25"/>
  <c r="BP39" i="25"/>
  <c r="BP38" i="25"/>
  <c r="BP37" i="25"/>
  <c r="BP36" i="25"/>
  <c r="BP35" i="25"/>
  <c r="BP34" i="25"/>
  <c r="BP33" i="25"/>
  <c r="BP32" i="25"/>
  <c r="BP31" i="25"/>
  <c r="BP30" i="25"/>
  <c r="BP29" i="25"/>
  <c r="BP28" i="25"/>
  <c r="BP27" i="25"/>
  <c r="BP26" i="25"/>
  <c r="BP25" i="25"/>
  <c r="BP24" i="25"/>
  <c r="BP23" i="25"/>
  <c r="BP22" i="25"/>
  <c r="BP19" i="25"/>
  <c r="BP17" i="25"/>
  <c r="BP16" i="25"/>
  <c r="BP15" i="25"/>
  <c r="BP14" i="25"/>
  <c r="BP13" i="25"/>
  <c r="BP12" i="25"/>
  <c r="BP11" i="25"/>
  <c r="BP10" i="25"/>
  <c r="BP9" i="25"/>
  <c r="BN61" i="25"/>
  <c r="BN60" i="25"/>
  <c r="BN59" i="25"/>
  <c r="BN58" i="25"/>
  <c r="BN57" i="25"/>
  <c r="BN56" i="25"/>
  <c r="BN55" i="25"/>
  <c r="BN54" i="25"/>
  <c r="BN53" i="25"/>
  <c r="BN52" i="25"/>
  <c r="BN51" i="25"/>
  <c r="BN50" i="25"/>
  <c r="BN49" i="25"/>
  <c r="BN48" i="25"/>
  <c r="BN47" i="25"/>
  <c r="BN46" i="25"/>
  <c r="BN45" i="25"/>
  <c r="BN44" i="25"/>
  <c r="BN43" i="25"/>
  <c r="BN42" i="25"/>
  <c r="BN40" i="25"/>
  <c r="BN39" i="25"/>
  <c r="BN38" i="25"/>
  <c r="BN37" i="25"/>
  <c r="BN36" i="25"/>
  <c r="BN35" i="25"/>
  <c r="BN34" i="25"/>
  <c r="BN33" i="25"/>
  <c r="BN32" i="25"/>
  <c r="BN31" i="25"/>
  <c r="BN30" i="25"/>
  <c r="BN29" i="25"/>
  <c r="BN28" i="25"/>
  <c r="BN27" i="25"/>
  <c r="BN26" i="25"/>
  <c r="BN25" i="25"/>
  <c r="BN24" i="25"/>
  <c r="BN22" i="25"/>
  <c r="BN21" i="25"/>
  <c r="BN19" i="25"/>
  <c r="BN17" i="25"/>
  <c r="BN16" i="25"/>
  <c r="BN15" i="25"/>
  <c r="BN14" i="25"/>
  <c r="BN13" i="25"/>
  <c r="BN12" i="25"/>
  <c r="BN11" i="25"/>
  <c r="BN10" i="25"/>
  <c r="BN9" i="25"/>
  <c r="BL61" i="25"/>
  <c r="BL60" i="25"/>
  <c r="BL59" i="25"/>
  <c r="BL58" i="25"/>
  <c r="BL57" i="25"/>
  <c r="BL56" i="25"/>
  <c r="BL55" i="25"/>
  <c r="BL54" i="25"/>
  <c r="BL53" i="25"/>
  <c r="BL52" i="25"/>
  <c r="BL51" i="25"/>
  <c r="BL50" i="25"/>
  <c r="BL49" i="25"/>
  <c r="BL48" i="25"/>
  <c r="BL47" i="25"/>
  <c r="BL46" i="25"/>
  <c r="BL45" i="25"/>
  <c r="BL44" i="25"/>
  <c r="BL43" i="25"/>
  <c r="BL42" i="25"/>
  <c r="BL40" i="25"/>
  <c r="BL39" i="25"/>
  <c r="BL38" i="25"/>
  <c r="BL37" i="25"/>
  <c r="BL36" i="25"/>
  <c r="BL35" i="25"/>
  <c r="BL34" i="25"/>
  <c r="BL33" i="25"/>
  <c r="BL32" i="25"/>
  <c r="BL31" i="25"/>
  <c r="BL30" i="25"/>
  <c r="BL29" i="25"/>
  <c r="BL28" i="25"/>
  <c r="BL27" i="25"/>
  <c r="BL26" i="25"/>
  <c r="BL25" i="25"/>
  <c r="BL24" i="25"/>
  <c r="BL23" i="25"/>
  <c r="BL22" i="25"/>
  <c r="BL21" i="25"/>
  <c r="BL19" i="25"/>
  <c r="BL17" i="25"/>
  <c r="BL16" i="25"/>
  <c r="BL15" i="25"/>
  <c r="BL14" i="25"/>
  <c r="BL13" i="25"/>
  <c r="BL12" i="25"/>
  <c r="BL11" i="25"/>
  <c r="BL10" i="25"/>
  <c r="BL9" i="25"/>
  <c r="BJ61" i="25"/>
  <c r="BJ60" i="25"/>
  <c r="BJ59" i="25"/>
  <c r="BJ58" i="25"/>
  <c r="BJ57" i="25"/>
  <c r="BJ56" i="25"/>
  <c r="BJ55" i="25"/>
  <c r="BJ54" i="25"/>
  <c r="BJ53" i="25"/>
  <c r="BJ52" i="25"/>
  <c r="BJ51" i="25"/>
  <c r="BJ50" i="25"/>
  <c r="BJ49" i="25"/>
  <c r="BJ48" i="25"/>
  <c r="BJ47" i="25"/>
  <c r="BJ46" i="25"/>
  <c r="BJ45" i="25"/>
  <c r="BJ44" i="25"/>
  <c r="BJ43" i="25"/>
  <c r="BJ42" i="25"/>
  <c r="BJ40" i="25"/>
  <c r="BJ39" i="25"/>
  <c r="BJ38" i="25"/>
  <c r="BJ37" i="25"/>
  <c r="BJ36" i="25"/>
  <c r="BJ35" i="25"/>
  <c r="BJ34" i="25"/>
  <c r="BJ33" i="25"/>
  <c r="BJ32" i="25"/>
  <c r="BJ31" i="25"/>
  <c r="BJ30" i="25"/>
  <c r="BJ29" i="25"/>
  <c r="BJ28" i="25"/>
  <c r="BJ27" i="25"/>
  <c r="BJ26" i="25"/>
  <c r="BJ25" i="25"/>
  <c r="BJ24" i="25"/>
  <c r="BJ23" i="25"/>
  <c r="BJ22" i="25"/>
  <c r="BJ21" i="25"/>
  <c r="BJ20" i="25"/>
  <c r="BJ19" i="25"/>
  <c r="BJ18" i="25"/>
  <c r="BJ17" i="25"/>
  <c r="BJ16" i="25"/>
  <c r="BJ15" i="25"/>
  <c r="BJ14" i="25"/>
  <c r="BJ13" i="25"/>
  <c r="BJ12" i="25"/>
  <c r="BJ11" i="25"/>
  <c r="BJ10" i="25"/>
  <c r="BJ9" i="25"/>
  <c r="BH9" i="25"/>
  <c r="BH10" i="25"/>
  <c r="BH11" i="25"/>
  <c r="BH12" i="25"/>
  <c r="BH13" i="25"/>
  <c r="BH14" i="25"/>
  <c r="BH15" i="25"/>
  <c r="BH16" i="25"/>
  <c r="BH17" i="25"/>
  <c r="BH19" i="25"/>
  <c r="BH20" i="25"/>
  <c r="BH21" i="25"/>
  <c r="BH22" i="25"/>
  <c r="BH23" i="25"/>
  <c r="BH24" i="25"/>
  <c r="BH25" i="25"/>
  <c r="BH26" i="25"/>
  <c r="BH27" i="25"/>
  <c r="BH28" i="25"/>
  <c r="BH29" i="25"/>
  <c r="BH30" i="25"/>
  <c r="BH31" i="25"/>
  <c r="BH32" i="25"/>
  <c r="BH33" i="25"/>
  <c r="BH34" i="25"/>
  <c r="BH35" i="25"/>
  <c r="BH36" i="25"/>
  <c r="BH37" i="25"/>
  <c r="BH38" i="25"/>
  <c r="BH39" i="25"/>
  <c r="BH40" i="25"/>
  <c r="BH41" i="25"/>
  <c r="BH42" i="25"/>
  <c r="BH43" i="25"/>
  <c r="BH44" i="25"/>
  <c r="BH45" i="25"/>
  <c r="BH46" i="25"/>
  <c r="BH47" i="25"/>
  <c r="BH48" i="25"/>
  <c r="BH49" i="25"/>
  <c r="BH50" i="25"/>
  <c r="BH51" i="25"/>
  <c r="BH52" i="25"/>
  <c r="BH53" i="25"/>
  <c r="BH54" i="25"/>
  <c r="BH55" i="25"/>
  <c r="BH56" i="25"/>
  <c r="BH57" i="25"/>
  <c r="BH58" i="25"/>
  <c r="BH59" i="25"/>
  <c r="BH60" i="25"/>
  <c r="BH61" i="25"/>
  <c r="BF61" i="25"/>
  <c r="BF60" i="25"/>
  <c r="BF59" i="25"/>
  <c r="BF58" i="25"/>
  <c r="BF57" i="25"/>
  <c r="BF56" i="25"/>
  <c r="BF55" i="25"/>
  <c r="BF54" i="25"/>
  <c r="BF53" i="25"/>
  <c r="BF52" i="25"/>
  <c r="BF51" i="25"/>
  <c r="BF50" i="25"/>
  <c r="BF49" i="25"/>
  <c r="BF48" i="25"/>
  <c r="BF47" i="25"/>
  <c r="BF46" i="25"/>
  <c r="BF45" i="25"/>
  <c r="BF44" i="25"/>
  <c r="BF43" i="25"/>
  <c r="BF42" i="25"/>
  <c r="BF41" i="25"/>
  <c r="BF40" i="25"/>
  <c r="BF39" i="25"/>
  <c r="BF38" i="25"/>
  <c r="BF37" i="25"/>
  <c r="BF36" i="25"/>
  <c r="BF35" i="25"/>
  <c r="BF34" i="25"/>
  <c r="BF33" i="25"/>
  <c r="BF32" i="25"/>
  <c r="BF31" i="25"/>
  <c r="BF30" i="25"/>
  <c r="BF29" i="25"/>
  <c r="BF28" i="25"/>
  <c r="BF27" i="25"/>
  <c r="BF26" i="25"/>
  <c r="BF25" i="25"/>
  <c r="BF24" i="25"/>
  <c r="BF23" i="25"/>
  <c r="BF22" i="25"/>
  <c r="BF21" i="25"/>
  <c r="BF19" i="25"/>
  <c r="BF17" i="25"/>
  <c r="BF16" i="25"/>
  <c r="BF15" i="25"/>
  <c r="BF14" i="25"/>
  <c r="BF13" i="25"/>
  <c r="BF12" i="25"/>
  <c r="BF11" i="25"/>
  <c r="BF10" i="25"/>
  <c r="BF9" i="25"/>
  <c r="AZ61" i="25"/>
  <c r="BC61" i="25" s="1"/>
  <c r="BD61" i="25" s="1"/>
  <c r="AZ60" i="25"/>
  <c r="BC60" i="25" s="1"/>
  <c r="BD60" i="25" s="1"/>
  <c r="AZ59" i="25"/>
  <c r="AZ58" i="25"/>
  <c r="BA58" i="25" s="1"/>
  <c r="AZ57" i="25"/>
  <c r="BA57" i="25" s="1"/>
  <c r="AZ56" i="25"/>
  <c r="AZ55" i="25"/>
  <c r="BC55" i="25" s="1"/>
  <c r="BD55" i="25" s="1"/>
  <c r="AZ54" i="25"/>
  <c r="BA54" i="25" s="1"/>
  <c r="AZ53" i="25"/>
  <c r="BC53" i="25" s="1"/>
  <c r="BD53" i="25" s="1"/>
  <c r="AZ52" i="25"/>
  <c r="BC52" i="25" s="1"/>
  <c r="BD52" i="25" s="1"/>
  <c r="AZ51" i="25"/>
  <c r="AZ50" i="25"/>
  <c r="BA50" i="25" s="1"/>
  <c r="AZ49" i="25"/>
  <c r="BA49" i="25" s="1"/>
  <c r="AZ48" i="25"/>
  <c r="AZ47" i="25"/>
  <c r="BC47" i="25" s="1"/>
  <c r="BD47" i="25" s="1"/>
  <c r="AZ46" i="25"/>
  <c r="BA46" i="25" s="1"/>
  <c r="AZ45" i="25"/>
  <c r="BC45" i="25" s="1"/>
  <c r="BD45" i="25" s="1"/>
  <c r="AZ44" i="25"/>
  <c r="AZ43" i="25"/>
  <c r="BC43" i="25" s="1"/>
  <c r="BD43" i="25" s="1"/>
  <c r="AZ42" i="25"/>
  <c r="BA42" i="25" s="1"/>
  <c r="AZ41" i="25"/>
  <c r="BC41" i="25" s="1"/>
  <c r="BD41" i="25" s="1"/>
  <c r="AZ40" i="25"/>
  <c r="BC40" i="25" s="1"/>
  <c r="BD40" i="25" s="1"/>
  <c r="AZ39" i="25"/>
  <c r="AZ38" i="25"/>
  <c r="AZ37" i="25"/>
  <c r="AZ36" i="25"/>
  <c r="BC36" i="25" s="1"/>
  <c r="BD36" i="25" s="1"/>
  <c r="AZ35" i="25"/>
  <c r="BA35" i="25" s="1"/>
  <c r="AZ34" i="25"/>
  <c r="AZ33" i="25"/>
  <c r="AZ32" i="25"/>
  <c r="AZ31" i="25"/>
  <c r="BA31" i="25" s="1"/>
  <c r="AZ30" i="25"/>
  <c r="BA30" i="25" s="1"/>
  <c r="AZ29" i="25"/>
  <c r="BA29" i="25" s="1"/>
  <c r="AZ28" i="25"/>
  <c r="BA28" i="25" s="1"/>
  <c r="AZ27" i="25"/>
  <c r="AZ26" i="25"/>
  <c r="AZ25" i="25"/>
  <c r="BC25" i="25" s="1"/>
  <c r="BD25" i="25" s="1"/>
  <c r="AZ24" i="25"/>
  <c r="AZ23" i="25"/>
  <c r="BA23" i="25" s="1"/>
  <c r="AZ22" i="25"/>
  <c r="BC22" i="25" s="1"/>
  <c r="BD22" i="25" s="1"/>
  <c r="AZ21" i="25"/>
  <c r="AZ20" i="25"/>
  <c r="AZ19" i="25"/>
  <c r="BC19" i="25" s="1"/>
  <c r="BD19" i="25" s="1"/>
  <c r="AZ18" i="25"/>
  <c r="AZ17" i="25"/>
  <c r="AZ16" i="25"/>
  <c r="BA16" i="25" s="1"/>
  <c r="AZ15" i="25"/>
  <c r="AZ14" i="25"/>
  <c r="BA14" i="25" s="1"/>
  <c r="AZ13" i="25"/>
  <c r="AZ12" i="25"/>
  <c r="AZ11" i="25"/>
  <c r="AZ10" i="25"/>
  <c r="BA10" i="25" s="1"/>
  <c r="AZ9" i="25"/>
  <c r="BA9" i="25" s="1"/>
  <c r="AX61" i="25"/>
  <c r="AX60" i="25"/>
  <c r="AX59" i="25"/>
  <c r="AX58" i="25"/>
  <c r="AX57" i="25"/>
  <c r="AX56" i="25"/>
  <c r="AX55" i="25"/>
  <c r="AX54" i="25"/>
  <c r="AX53" i="25"/>
  <c r="AX52" i="25"/>
  <c r="AX51" i="25"/>
  <c r="AX50" i="25"/>
  <c r="AX49" i="25"/>
  <c r="AX48" i="25"/>
  <c r="AX47" i="25"/>
  <c r="AX46" i="25"/>
  <c r="AX45" i="25"/>
  <c r="AX44" i="25"/>
  <c r="AX43" i="25"/>
  <c r="AX42" i="25"/>
  <c r="AX41" i="25"/>
  <c r="AX40" i="25"/>
  <c r="AX39" i="25"/>
  <c r="AX38" i="25"/>
  <c r="AX37" i="25"/>
  <c r="AX36" i="25"/>
  <c r="AX35" i="25"/>
  <c r="AX34" i="25"/>
  <c r="AX33" i="25"/>
  <c r="AX32" i="25"/>
  <c r="AX31" i="25"/>
  <c r="AX30" i="25"/>
  <c r="AX29" i="25"/>
  <c r="AX28" i="25"/>
  <c r="AX27" i="25"/>
  <c r="AX26" i="25"/>
  <c r="AX25" i="25"/>
  <c r="AX24" i="25"/>
  <c r="AX23" i="25"/>
  <c r="AX22" i="25"/>
  <c r="AX21" i="25"/>
  <c r="AX20" i="25"/>
  <c r="AX19" i="25"/>
  <c r="AX17" i="25"/>
  <c r="AX16" i="25"/>
  <c r="AX15" i="25"/>
  <c r="AX14" i="25"/>
  <c r="AX13" i="25"/>
  <c r="AX12" i="25"/>
  <c r="AX11" i="25"/>
  <c r="AX10" i="25"/>
  <c r="AX9" i="25"/>
  <c r="AV61" i="25"/>
  <c r="AV60" i="25"/>
  <c r="AV59" i="25"/>
  <c r="AV58" i="25"/>
  <c r="AV57" i="25"/>
  <c r="AV56" i="25"/>
  <c r="AV55" i="25"/>
  <c r="AV54" i="25"/>
  <c r="AV53" i="25"/>
  <c r="AV52" i="25"/>
  <c r="AV51" i="25"/>
  <c r="AV50" i="25"/>
  <c r="AV49" i="25"/>
  <c r="AV48" i="25"/>
  <c r="AV47" i="25"/>
  <c r="AV46" i="25"/>
  <c r="AV45" i="25"/>
  <c r="AV44" i="25"/>
  <c r="AV43" i="25"/>
  <c r="AV42" i="25"/>
  <c r="AV41" i="25"/>
  <c r="AV40" i="25"/>
  <c r="AV39" i="25"/>
  <c r="AV38" i="25"/>
  <c r="AV37" i="25"/>
  <c r="AV36" i="25"/>
  <c r="AV35" i="25"/>
  <c r="AV34" i="25"/>
  <c r="AV33" i="25"/>
  <c r="AV32" i="25"/>
  <c r="AV31" i="25"/>
  <c r="AV30" i="25"/>
  <c r="AV29" i="25"/>
  <c r="AV28" i="25"/>
  <c r="AV27" i="25"/>
  <c r="AV26" i="25"/>
  <c r="AV25" i="25"/>
  <c r="AV24" i="25"/>
  <c r="AV23" i="25"/>
  <c r="AV22" i="25"/>
  <c r="AV21" i="25"/>
  <c r="AV20" i="25"/>
  <c r="AV19" i="25"/>
  <c r="AV17" i="25"/>
  <c r="AV16" i="25"/>
  <c r="AV15" i="25"/>
  <c r="AV14" i="25"/>
  <c r="AV13" i="25"/>
  <c r="AV12" i="25"/>
  <c r="AV11" i="25"/>
  <c r="AV10" i="25"/>
  <c r="AV9" i="25"/>
  <c r="AT61" i="25"/>
  <c r="AT60" i="25"/>
  <c r="AT59" i="25"/>
  <c r="AT58" i="25"/>
  <c r="AT57" i="25"/>
  <c r="AT56" i="25"/>
  <c r="AT55" i="25"/>
  <c r="AT54" i="25"/>
  <c r="AT53" i="25"/>
  <c r="AT52" i="25"/>
  <c r="AT51" i="25"/>
  <c r="AT50" i="25"/>
  <c r="AT49" i="25"/>
  <c r="AT48" i="25"/>
  <c r="AT47" i="25"/>
  <c r="AT46" i="25"/>
  <c r="AT45" i="25"/>
  <c r="AT44" i="25"/>
  <c r="AT43" i="25"/>
  <c r="AT42" i="25"/>
  <c r="AT41" i="25"/>
  <c r="AT40" i="25"/>
  <c r="AT39" i="25"/>
  <c r="AT38" i="25"/>
  <c r="AT37" i="25"/>
  <c r="AT36" i="25"/>
  <c r="AT35" i="25"/>
  <c r="AT34" i="25"/>
  <c r="AT33" i="25"/>
  <c r="AT32" i="25"/>
  <c r="AT31" i="25"/>
  <c r="AT30" i="25"/>
  <c r="AT29" i="25"/>
  <c r="AT28" i="25"/>
  <c r="AT27" i="25"/>
  <c r="AT26" i="25"/>
  <c r="AT25" i="25"/>
  <c r="AT24" i="25"/>
  <c r="AT23" i="25"/>
  <c r="AT22" i="25"/>
  <c r="AT21" i="25"/>
  <c r="AT20" i="25"/>
  <c r="AT19" i="25"/>
  <c r="AT17" i="25"/>
  <c r="AT16" i="25"/>
  <c r="AT15" i="25"/>
  <c r="AT14" i="25"/>
  <c r="AT13" i="25"/>
  <c r="AT12" i="25"/>
  <c r="AT11" i="25"/>
  <c r="AT10" i="25"/>
  <c r="AT9" i="25"/>
  <c r="AR61" i="25"/>
  <c r="AR60" i="25"/>
  <c r="AR59" i="25"/>
  <c r="AR58" i="25"/>
  <c r="AR57" i="25"/>
  <c r="AR56" i="25"/>
  <c r="AR55" i="25"/>
  <c r="AR54" i="25"/>
  <c r="AR53" i="25"/>
  <c r="AR52" i="25"/>
  <c r="AR51" i="25"/>
  <c r="AR50" i="25"/>
  <c r="AR49" i="25"/>
  <c r="AR48" i="25"/>
  <c r="AR47" i="25"/>
  <c r="AR46" i="25"/>
  <c r="AR45" i="25"/>
  <c r="AR44" i="25"/>
  <c r="AR43" i="25"/>
  <c r="AR42" i="25"/>
  <c r="AR41" i="25"/>
  <c r="AR40" i="25"/>
  <c r="AR39" i="25"/>
  <c r="AR38" i="25"/>
  <c r="AR37" i="25"/>
  <c r="AR36" i="25"/>
  <c r="AR35" i="25"/>
  <c r="AR34" i="25"/>
  <c r="AR33" i="25"/>
  <c r="AR32" i="25"/>
  <c r="AR31" i="25"/>
  <c r="AR30" i="25"/>
  <c r="AR29" i="25"/>
  <c r="AR28" i="25"/>
  <c r="AR27" i="25"/>
  <c r="AR26" i="25"/>
  <c r="AR25" i="25"/>
  <c r="AR24" i="25"/>
  <c r="AR23" i="25"/>
  <c r="AR22" i="25"/>
  <c r="AR21" i="25"/>
  <c r="AR20" i="25"/>
  <c r="AR19" i="25"/>
  <c r="AR17" i="25"/>
  <c r="AR16" i="25"/>
  <c r="AR15" i="25"/>
  <c r="AR14" i="25"/>
  <c r="AR13" i="25"/>
  <c r="AR12" i="25"/>
  <c r="AR11" i="25"/>
  <c r="AR10" i="25"/>
  <c r="AR9" i="25"/>
  <c r="AP61" i="25"/>
  <c r="AP60" i="25"/>
  <c r="AP59" i="25"/>
  <c r="AP58" i="25"/>
  <c r="AP57" i="25"/>
  <c r="AP56" i="25"/>
  <c r="AP55" i="25"/>
  <c r="AP54" i="25"/>
  <c r="AP53" i="25"/>
  <c r="AP52" i="25"/>
  <c r="AP51" i="25"/>
  <c r="AP50" i="25"/>
  <c r="AP49" i="25"/>
  <c r="AP48" i="25"/>
  <c r="AP47" i="25"/>
  <c r="AP46" i="25"/>
  <c r="AP45" i="25"/>
  <c r="AP44" i="25"/>
  <c r="AP43" i="25"/>
  <c r="AP42" i="25"/>
  <c r="AP41" i="25"/>
  <c r="AP40" i="25"/>
  <c r="AP39" i="25"/>
  <c r="AP38" i="25"/>
  <c r="AP37" i="25"/>
  <c r="AP36" i="25"/>
  <c r="AP35" i="25"/>
  <c r="AP34" i="25"/>
  <c r="AP33" i="25"/>
  <c r="AP32" i="25"/>
  <c r="AP31" i="25"/>
  <c r="AP30" i="25"/>
  <c r="AP29" i="25"/>
  <c r="AP28" i="25"/>
  <c r="AP27" i="25"/>
  <c r="AP26" i="25"/>
  <c r="AP25" i="25"/>
  <c r="AP24" i="25"/>
  <c r="AP23" i="25"/>
  <c r="AP22" i="25"/>
  <c r="AP21" i="25"/>
  <c r="AP20" i="25"/>
  <c r="AP19" i="25"/>
  <c r="AP17" i="25"/>
  <c r="AP16" i="25"/>
  <c r="AP15" i="25"/>
  <c r="AP14" i="25"/>
  <c r="AP13" i="25"/>
  <c r="AP12" i="25"/>
  <c r="AP11" i="25"/>
  <c r="AP10" i="25"/>
  <c r="AP9" i="25"/>
  <c r="AN61" i="25"/>
  <c r="AN60" i="25"/>
  <c r="AN59" i="25"/>
  <c r="AN58" i="25"/>
  <c r="AN57" i="25"/>
  <c r="AN56" i="25"/>
  <c r="AN55" i="25"/>
  <c r="AN54" i="25"/>
  <c r="AN53" i="25"/>
  <c r="AN52" i="25"/>
  <c r="AN51" i="25"/>
  <c r="AN50" i="25"/>
  <c r="AN49" i="25"/>
  <c r="AN48" i="25"/>
  <c r="AN47" i="25"/>
  <c r="AN46" i="25"/>
  <c r="AN45" i="25"/>
  <c r="AN44" i="25"/>
  <c r="AN43" i="25"/>
  <c r="AN42" i="25"/>
  <c r="AN41" i="25"/>
  <c r="AN40" i="25"/>
  <c r="AN39" i="25"/>
  <c r="AN38" i="25"/>
  <c r="AN37" i="25"/>
  <c r="AN36" i="25"/>
  <c r="AN35" i="25"/>
  <c r="AN34" i="25"/>
  <c r="AN33" i="25"/>
  <c r="AN32" i="25"/>
  <c r="AN31" i="25"/>
  <c r="AN30" i="25"/>
  <c r="AN29" i="25"/>
  <c r="AN28" i="25"/>
  <c r="AN27" i="25"/>
  <c r="AN26" i="25"/>
  <c r="AN25" i="25"/>
  <c r="AN24" i="25"/>
  <c r="AN23" i="25"/>
  <c r="AN22" i="25"/>
  <c r="AN21" i="25"/>
  <c r="AN20" i="25"/>
  <c r="AN19" i="25"/>
  <c r="AN18" i="25"/>
  <c r="AN17" i="25"/>
  <c r="AN16" i="25"/>
  <c r="AN15" i="25"/>
  <c r="AN14" i="25"/>
  <c r="AN13" i="25"/>
  <c r="AN12" i="25"/>
  <c r="AN11" i="25"/>
  <c r="AN10" i="25"/>
  <c r="AN9" i="25"/>
  <c r="AL61" i="25"/>
  <c r="AL60" i="25"/>
  <c r="AL59" i="25"/>
  <c r="AL58" i="25"/>
  <c r="AL57" i="25"/>
  <c r="AL56" i="25"/>
  <c r="AL55" i="25"/>
  <c r="AL54" i="25"/>
  <c r="AL53" i="25"/>
  <c r="AL52" i="25"/>
  <c r="AL51" i="25"/>
  <c r="AL50" i="25"/>
  <c r="AL49" i="25"/>
  <c r="AL48" i="25"/>
  <c r="AL47" i="25"/>
  <c r="AL46" i="25"/>
  <c r="AL45" i="25"/>
  <c r="AL44" i="25"/>
  <c r="AL43" i="25"/>
  <c r="AL42" i="25"/>
  <c r="AL41" i="25"/>
  <c r="AL40" i="25"/>
  <c r="AL39" i="25"/>
  <c r="AL38" i="25"/>
  <c r="AL37" i="25"/>
  <c r="AL36" i="25"/>
  <c r="AL35" i="25"/>
  <c r="AL34" i="25"/>
  <c r="AL33" i="25"/>
  <c r="AL32" i="25"/>
  <c r="AL31" i="25"/>
  <c r="AL30" i="25"/>
  <c r="AL29" i="25"/>
  <c r="AL28" i="25"/>
  <c r="AL27" i="25"/>
  <c r="AL26" i="25"/>
  <c r="AL25" i="25"/>
  <c r="AL24" i="25"/>
  <c r="AL23" i="25"/>
  <c r="AL22" i="25"/>
  <c r="AL21" i="25"/>
  <c r="AL20" i="25"/>
  <c r="AL19" i="25"/>
  <c r="AL18" i="25"/>
  <c r="AL17" i="25"/>
  <c r="AL16" i="25"/>
  <c r="AL15" i="25"/>
  <c r="AL14" i="25"/>
  <c r="AL13" i="25"/>
  <c r="AL12" i="25"/>
  <c r="AL11" i="25"/>
  <c r="AL10" i="25"/>
  <c r="AL9" i="25"/>
  <c r="AJ61" i="25"/>
  <c r="AJ60" i="25"/>
  <c r="AJ59" i="25"/>
  <c r="AJ58" i="25"/>
  <c r="AJ57" i="25"/>
  <c r="AJ56" i="25"/>
  <c r="AJ55" i="25"/>
  <c r="AJ54" i="25"/>
  <c r="AJ53" i="25"/>
  <c r="AJ52" i="25"/>
  <c r="AJ51" i="25"/>
  <c r="AJ50" i="25"/>
  <c r="AJ49" i="25"/>
  <c r="AJ48" i="25"/>
  <c r="AJ47" i="25"/>
  <c r="AJ46" i="25"/>
  <c r="AJ45" i="25"/>
  <c r="AJ44" i="25"/>
  <c r="AJ43" i="25"/>
  <c r="AJ42" i="25"/>
  <c r="AJ41" i="25"/>
  <c r="AJ40" i="25"/>
  <c r="AJ39" i="25"/>
  <c r="AJ38" i="25"/>
  <c r="AJ37" i="25"/>
  <c r="AJ36" i="25"/>
  <c r="AJ35" i="25"/>
  <c r="AJ34" i="25"/>
  <c r="AJ33" i="25"/>
  <c r="AJ32" i="25"/>
  <c r="AJ31" i="25"/>
  <c r="AJ30" i="25"/>
  <c r="AJ29" i="25"/>
  <c r="AJ28" i="25"/>
  <c r="AJ27" i="25"/>
  <c r="AJ26" i="25"/>
  <c r="AJ25" i="25"/>
  <c r="AJ24" i="25"/>
  <c r="AJ23" i="25"/>
  <c r="AJ22" i="25"/>
  <c r="AJ21" i="25"/>
  <c r="AJ20" i="25"/>
  <c r="AJ19" i="25"/>
  <c r="AJ17" i="25"/>
  <c r="AJ16" i="25"/>
  <c r="AJ15" i="25"/>
  <c r="AJ14" i="25"/>
  <c r="AJ13" i="25"/>
  <c r="AJ12" i="25"/>
  <c r="AJ11" i="25"/>
  <c r="AJ10" i="25"/>
  <c r="AJ9" i="25"/>
  <c r="AH61" i="25"/>
  <c r="AH60" i="25"/>
  <c r="AH59" i="25"/>
  <c r="AH58" i="25"/>
  <c r="AH57" i="25"/>
  <c r="AH56" i="25"/>
  <c r="AH55" i="25"/>
  <c r="AH54" i="25"/>
  <c r="AH53" i="25"/>
  <c r="AH52" i="25"/>
  <c r="AH51" i="25"/>
  <c r="AH50" i="25"/>
  <c r="AH49" i="25"/>
  <c r="AH48" i="25"/>
  <c r="AH47" i="25"/>
  <c r="AH46" i="25"/>
  <c r="AH45" i="25"/>
  <c r="AH44" i="25"/>
  <c r="AH43" i="25"/>
  <c r="AH42" i="25"/>
  <c r="AH41" i="25"/>
  <c r="AH40" i="25"/>
  <c r="AH39" i="25"/>
  <c r="AH38" i="25"/>
  <c r="AH37" i="25"/>
  <c r="AH36" i="25"/>
  <c r="AH35" i="25"/>
  <c r="AH34" i="25"/>
  <c r="AH33" i="25"/>
  <c r="AH32" i="25"/>
  <c r="AH31" i="25"/>
  <c r="AH30" i="25"/>
  <c r="AH29" i="25"/>
  <c r="AH28" i="25"/>
  <c r="AH27" i="25"/>
  <c r="AH26" i="25"/>
  <c r="AH25" i="25"/>
  <c r="AH24" i="25"/>
  <c r="AH23" i="25"/>
  <c r="AH22" i="25"/>
  <c r="AH21" i="25"/>
  <c r="AH20" i="25"/>
  <c r="AH19" i="25"/>
  <c r="AH17" i="25"/>
  <c r="AH16" i="25"/>
  <c r="AH15" i="25"/>
  <c r="AH14" i="25"/>
  <c r="AH13" i="25"/>
  <c r="AH12" i="25"/>
  <c r="AH11" i="25"/>
  <c r="AH10" i="25"/>
  <c r="AH9" i="25"/>
  <c r="AF61" i="25"/>
  <c r="AF60" i="25"/>
  <c r="AF59" i="25"/>
  <c r="AF58" i="25"/>
  <c r="AF57" i="25"/>
  <c r="AF56" i="25"/>
  <c r="AF55" i="25"/>
  <c r="AF54" i="25"/>
  <c r="AF53" i="25"/>
  <c r="AF52" i="25"/>
  <c r="AF51" i="25"/>
  <c r="AF50" i="25"/>
  <c r="AF49" i="25"/>
  <c r="AF48" i="25"/>
  <c r="AF47" i="25"/>
  <c r="AF46" i="25"/>
  <c r="AF45" i="25"/>
  <c r="AD61" i="25"/>
  <c r="AD60" i="25"/>
  <c r="AD59" i="25"/>
  <c r="AD58" i="25"/>
  <c r="AD57" i="25"/>
  <c r="AD56" i="25"/>
  <c r="AD55" i="25"/>
  <c r="AD54" i="25"/>
  <c r="AD53" i="25"/>
  <c r="AD52" i="25"/>
  <c r="AD51" i="25"/>
  <c r="AD50" i="25"/>
  <c r="AD49" i="25"/>
  <c r="AD48" i="25"/>
  <c r="AD47" i="25"/>
  <c r="AD46" i="25"/>
  <c r="AD45" i="25"/>
  <c r="AB61" i="25"/>
  <c r="AB60" i="25"/>
  <c r="AB59" i="25"/>
  <c r="AB58" i="25"/>
  <c r="AB57" i="25"/>
  <c r="AB56" i="25"/>
  <c r="AB55" i="25"/>
  <c r="AB54" i="25"/>
  <c r="AB53" i="25"/>
  <c r="AB52" i="25"/>
  <c r="AB51" i="25"/>
  <c r="AB50" i="25"/>
  <c r="AB49" i="25"/>
  <c r="AB48" i="25"/>
  <c r="AB47" i="25"/>
  <c r="AB46" i="25"/>
  <c r="AB45" i="25"/>
  <c r="Z61" i="25"/>
  <c r="Z60" i="25"/>
  <c r="Z59" i="25"/>
  <c r="Z58" i="25"/>
  <c r="Z57" i="25"/>
  <c r="Z56" i="25"/>
  <c r="Z55" i="25"/>
  <c r="Z54" i="25"/>
  <c r="Z53" i="25"/>
  <c r="Z52" i="25"/>
  <c r="Z51" i="25"/>
  <c r="Z50" i="25"/>
  <c r="Z49" i="25"/>
  <c r="Z48" i="25"/>
  <c r="Z47" i="25"/>
  <c r="Z46" i="25"/>
  <c r="Z45" i="25"/>
  <c r="X61" i="25"/>
  <c r="X60" i="25"/>
  <c r="X59" i="25"/>
  <c r="X58" i="25"/>
  <c r="X57" i="25"/>
  <c r="X56" i="25"/>
  <c r="X55" i="25"/>
  <c r="X54" i="25"/>
  <c r="X53" i="25"/>
  <c r="X52" i="25"/>
  <c r="X51" i="25"/>
  <c r="X50" i="25"/>
  <c r="X49" i="25"/>
  <c r="X48" i="25"/>
  <c r="X47" i="25"/>
  <c r="X46" i="25"/>
  <c r="X45" i="25"/>
  <c r="V61" i="25"/>
  <c r="V60" i="25"/>
  <c r="V59" i="25"/>
  <c r="V58" i="25"/>
  <c r="V57" i="25"/>
  <c r="V56" i="25"/>
  <c r="V55" i="25"/>
  <c r="V54" i="25"/>
  <c r="V53" i="25"/>
  <c r="V52" i="25"/>
  <c r="V51" i="25"/>
  <c r="V50" i="25"/>
  <c r="V49" i="25"/>
  <c r="V48" i="25"/>
  <c r="V47" i="25"/>
  <c r="V46" i="25"/>
  <c r="V45" i="25"/>
  <c r="T61" i="25"/>
  <c r="T60" i="25"/>
  <c r="T59" i="25"/>
  <c r="T58" i="25"/>
  <c r="T57" i="25"/>
  <c r="T56" i="25"/>
  <c r="T55" i="25"/>
  <c r="T54" i="25"/>
  <c r="T53" i="25"/>
  <c r="T52" i="25"/>
  <c r="T51" i="25"/>
  <c r="T50" i="25"/>
  <c r="T49" i="25"/>
  <c r="T48" i="25"/>
  <c r="T47" i="25"/>
  <c r="T46" i="25"/>
  <c r="T45" i="25"/>
  <c r="R61" i="25"/>
  <c r="R60" i="25"/>
  <c r="R59" i="25"/>
  <c r="R58" i="25"/>
  <c r="R57" i="25"/>
  <c r="R56" i="25"/>
  <c r="R55" i="25"/>
  <c r="R54" i="25"/>
  <c r="R53" i="25"/>
  <c r="R52" i="25"/>
  <c r="R51" i="25"/>
  <c r="R50" i="25"/>
  <c r="R49" i="25"/>
  <c r="R48" i="25"/>
  <c r="R47" i="25"/>
  <c r="R46" i="25"/>
  <c r="R45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N61" i="25"/>
  <c r="N60" i="25"/>
  <c r="N59" i="25"/>
  <c r="N58" i="25"/>
  <c r="N57" i="25"/>
  <c r="N56" i="25"/>
  <c r="N55" i="25"/>
  <c r="N54" i="25"/>
  <c r="N53" i="25"/>
  <c r="N52" i="25"/>
  <c r="N51" i="25"/>
  <c r="N50" i="25"/>
  <c r="N49" i="25"/>
  <c r="N48" i="25"/>
  <c r="N47" i="25"/>
  <c r="N46" i="25"/>
  <c r="N45" i="25"/>
  <c r="L61" i="25"/>
  <c r="L60" i="25"/>
  <c r="L59" i="25"/>
  <c r="L58" i="25"/>
  <c r="L57" i="25"/>
  <c r="L56" i="25"/>
  <c r="L55" i="25"/>
  <c r="L54" i="25"/>
  <c r="L53" i="25"/>
  <c r="L52" i="25"/>
  <c r="L51" i="25"/>
  <c r="L50" i="25"/>
  <c r="L49" i="25"/>
  <c r="L48" i="25"/>
  <c r="L47" i="25"/>
  <c r="L46" i="25"/>
  <c r="L45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C57" i="30"/>
  <c r="C58" i="30"/>
  <c r="C59" i="30"/>
  <c r="C60" i="30"/>
  <c r="C27" i="30"/>
  <c r="C28" i="30"/>
  <c r="C29" i="30"/>
  <c r="C30" i="30"/>
  <c r="C31" i="30"/>
  <c r="C32" i="30"/>
  <c r="C33" i="30"/>
  <c r="C34" i="30"/>
  <c r="C35" i="30"/>
  <c r="C36" i="30"/>
  <c r="C37" i="30"/>
  <c r="C38" i="30"/>
  <c r="C39" i="30"/>
  <c r="C40" i="30"/>
  <c r="C41" i="30"/>
  <c r="C42" i="30"/>
  <c r="C43" i="30"/>
  <c r="C44" i="30"/>
  <c r="C45" i="30"/>
  <c r="C46" i="30"/>
  <c r="C47" i="30"/>
  <c r="C48" i="30"/>
  <c r="C49" i="30"/>
  <c r="C50" i="30"/>
  <c r="C51" i="30"/>
  <c r="C52" i="30"/>
  <c r="C53" i="30"/>
  <c r="C54" i="30"/>
  <c r="C55" i="30"/>
  <c r="C56" i="30"/>
  <c r="CH61" i="25"/>
  <c r="CG61" i="25"/>
  <c r="CE61" i="25"/>
  <c r="D61" i="30" s="1"/>
  <c r="CH60" i="25"/>
  <c r="CG60" i="25"/>
  <c r="CE60" i="25"/>
  <c r="D60" i="30" s="1"/>
  <c r="CH59" i="25"/>
  <c r="CG59" i="25"/>
  <c r="CE59" i="25"/>
  <c r="D59" i="30" s="1"/>
  <c r="CH58" i="25"/>
  <c r="CG58" i="25"/>
  <c r="CE58" i="25"/>
  <c r="D58" i="30" s="1"/>
  <c r="CH57" i="25"/>
  <c r="CG57" i="25"/>
  <c r="CE57" i="25"/>
  <c r="D57" i="30" s="1"/>
  <c r="CH56" i="25"/>
  <c r="CG56" i="25"/>
  <c r="CE56" i="25"/>
  <c r="D56" i="30" s="1"/>
  <c r="CH55" i="25"/>
  <c r="CG55" i="25"/>
  <c r="CE55" i="25"/>
  <c r="D55" i="30" s="1"/>
  <c r="CH54" i="25"/>
  <c r="CG54" i="25"/>
  <c r="CE54" i="25"/>
  <c r="D54" i="30" s="1"/>
  <c r="CH53" i="25"/>
  <c r="CG53" i="25"/>
  <c r="CE53" i="25"/>
  <c r="D53" i="30" s="1"/>
  <c r="CH52" i="25"/>
  <c r="CG52" i="25"/>
  <c r="CE52" i="25"/>
  <c r="D52" i="30" s="1"/>
  <c r="CH51" i="25"/>
  <c r="CG51" i="25"/>
  <c r="CE51" i="25"/>
  <c r="D51" i="30" s="1"/>
  <c r="CH50" i="25"/>
  <c r="CG50" i="25"/>
  <c r="CE50" i="25"/>
  <c r="D50" i="30" s="1"/>
  <c r="CH49" i="25"/>
  <c r="CG49" i="25"/>
  <c r="CE49" i="25"/>
  <c r="D49" i="30" s="1"/>
  <c r="CH48" i="25"/>
  <c r="CG48" i="25"/>
  <c r="CE48" i="25"/>
  <c r="D48" i="30" s="1"/>
  <c r="CH47" i="25"/>
  <c r="CG47" i="25"/>
  <c r="CE47" i="25"/>
  <c r="D47" i="30" s="1"/>
  <c r="CH46" i="25"/>
  <c r="CG46" i="25"/>
  <c r="CE46" i="25"/>
  <c r="D46" i="30" s="1"/>
  <c r="CH45" i="25"/>
  <c r="CG45" i="25"/>
  <c r="CE45" i="25"/>
  <c r="D45" i="30" s="1"/>
  <c r="CH44" i="25"/>
  <c r="CG44" i="25"/>
  <c r="CE44" i="25"/>
  <c r="D44" i="30" s="1"/>
  <c r="CH43" i="25"/>
  <c r="CG43" i="25"/>
  <c r="CE43" i="25"/>
  <c r="D43" i="30" s="1"/>
  <c r="CH42" i="25"/>
  <c r="CG42" i="25"/>
  <c r="CE42" i="25"/>
  <c r="D42" i="30" s="1"/>
  <c r="CH41" i="25"/>
  <c r="CG41" i="25"/>
  <c r="CE41" i="25"/>
  <c r="D41" i="30" s="1"/>
  <c r="CH40" i="25"/>
  <c r="CG40" i="25"/>
  <c r="CE40" i="25"/>
  <c r="D40" i="30" s="1"/>
  <c r="CH39" i="25"/>
  <c r="CG39" i="25"/>
  <c r="CE39" i="25"/>
  <c r="D39" i="30" s="1"/>
  <c r="CH38" i="25"/>
  <c r="CG38" i="25"/>
  <c r="CE38" i="25"/>
  <c r="D38" i="30" s="1"/>
  <c r="CH37" i="25"/>
  <c r="CG37" i="25"/>
  <c r="CE37" i="25"/>
  <c r="D37" i="30" s="1"/>
  <c r="CH36" i="25"/>
  <c r="CG36" i="25"/>
  <c r="CE36" i="25"/>
  <c r="D36" i="30" s="1"/>
  <c r="CH35" i="25"/>
  <c r="CG35" i="25"/>
  <c r="CE35" i="25"/>
  <c r="D35" i="30" s="1"/>
  <c r="CH34" i="25"/>
  <c r="CG34" i="25"/>
  <c r="CE34" i="25"/>
  <c r="D34" i="30" s="1"/>
  <c r="CH33" i="25"/>
  <c r="CG33" i="25"/>
  <c r="CE33" i="25"/>
  <c r="D33" i="30" s="1"/>
  <c r="CH32" i="25"/>
  <c r="CG32" i="25"/>
  <c r="CE32" i="25"/>
  <c r="D32" i="30" s="1"/>
  <c r="CH31" i="25"/>
  <c r="CG31" i="25"/>
  <c r="CE31" i="25"/>
  <c r="D31" i="30" s="1"/>
  <c r="CH30" i="25"/>
  <c r="CG30" i="25"/>
  <c r="CE30" i="25"/>
  <c r="D30" i="30" s="1"/>
  <c r="CH29" i="25"/>
  <c r="CG29" i="25"/>
  <c r="CE29" i="25"/>
  <c r="D29" i="30" s="1"/>
  <c r="CH28" i="25"/>
  <c r="CG28" i="25"/>
  <c r="CE28" i="25"/>
  <c r="D28" i="30" s="1"/>
  <c r="CH27" i="25"/>
  <c r="CG27" i="25"/>
  <c r="CE27" i="25"/>
  <c r="D27" i="30" s="1"/>
  <c r="CH26" i="25"/>
  <c r="CG26" i="25"/>
  <c r="CE26" i="25"/>
  <c r="D26" i="30" s="1"/>
  <c r="CH25" i="25"/>
  <c r="CG25" i="25"/>
  <c r="CE25" i="25"/>
  <c r="D25" i="30" s="1"/>
  <c r="CH24" i="25"/>
  <c r="CG24" i="25"/>
  <c r="CE24" i="25"/>
  <c r="D24" i="30" s="1"/>
  <c r="CH23" i="25"/>
  <c r="CG23" i="25"/>
  <c r="CE23" i="25"/>
  <c r="D23" i="30" s="1"/>
  <c r="CH22" i="25"/>
  <c r="CG22" i="25"/>
  <c r="CE22" i="25"/>
  <c r="D22" i="30" s="1"/>
  <c r="CH21" i="25"/>
  <c r="CG21" i="25"/>
  <c r="CE21" i="25"/>
  <c r="D21" i="30" s="1"/>
  <c r="CH20" i="25"/>
  <c r="CG20" i="25"/>
  <c r="CE20" i="25"/>
  <c r="D20" i="30" s="1"/>
  <c r="CH19" i="25"/>
  <c r="CG19" i="25"/>
  <c r="CE19" i="25"/>
  <c r="D19" i="30" s="1"/>
  <c r="CH18" i="25"/>
  <c r="CG18" i="25"/>
  <c r="CE18" i="25"/>
  <c r="D18" i="30" s="1"/>
  <c r="CH17" i="25"/>
  <c r="CG17" i="25"/>
  <c r="CE17" i="25"/>
  <c r="D17" i="30" s="1"/>
  <c r="CH16" i="25"/>
  <c r="CG16" i="25"/>
  <c r="CE16" i="25"/>
  <c r="D16" i="30" s="1"/>
  <c r="CH15" i="25"/>
  <c r="CG15" i="25"/>
  <c r="CE15" i="25"/>
  <c r="D15" i="30" s="1"/>
  <c r="CH14" i="25"/>
  <c r="CG14" i="25"/>
  <c r="CE14" i="25"/>
  <c r="D14" i="30" s="1"/>
  <c r="CH13" i="25"/>
  <c r="CG13" i="25"/>
  <c r="CE13" i="25"/>
  <c r="D13" i="30" s="1"/>
  <c r="CH12" i="25"/>
  <c r="CG12" i="25"/>
  <c r="CE12" i="25"/>
  <c r="D12" i="30" s="1"/>
  <c r="CH11" i="25"/>
  <c r="CG11" i="25"/>
  <c r="CE11" i="25"/>
  <c r="D11" i="30" s="1"/>
  <c r="CH10" i="25"/>
  <c r="CG10" i="25"/>
  <c r="CE10" i="25"/>
  <c r="D10" i="30" s="1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14" i="25"/>
  <c r="F13" i="25"/>
  <c r="CE9" i="25"/>
  <c r="D9" i="30" s="1"/>
  <c r="CG9" i="25"/>
  <c r="C15" i="30"/>
  <c r="C16" i="30"/>
  <c r="C17" i="30"/>
  <c r="C18" i="30"/>
  <c r="C19" i="30"/>
  <c r="C20" i="30"/>
  <c r="C21" i="30"/>
  <c r="C22" i="30"/>
  <c r="C23" i="30"/>
  <c r="C24" i="30"/>
  <c r="C25" i="30"/>
  <c r="C26" i="30"/>
  <c r="C11" i="30"/>
  <c r="C12" i="30"/>
  <c r="C13" i="30"/>
  <c r="C14" i="30"/>
  <c r="F15" i="25"/>
  <c r="F19" i="25"/>
  <c r="F26" i="25"/>
  <c r="C65" i="30"/>
  <c r="C64" i="30"/>
  <c r="C10" i="30"/>
  <c r="C9" i="30"/>
  <c r="CE3" i="25"/>
  <c r="D5" i="30" s="1"/>
  <c r="C62" i="25"/>
  <c r="F24" i="25"/>
  <c r="F18" i="25"/>
  <c r="F23" i="25"/>
  <c r="F17" i="25"/>
  <c r="F11" i="25"/>
  <c r="F10" i="25"/>
  <c r="F12" i="25"/>
  <c r="F9" i="25"/>
  <c r="CH9" i="25"/>
  <c r="F25" i="25"/>
  <c r="F22" i="25"/>
  <c r="F21" i="25"/>
  <c r="F20" i="25"/>
  <c r="F16" i="25"/>
  <c r="BC44" i="25" l="1"/>
  <c r="BD44" i="25" s="1"/>
  <c r="CF44" i="25"/>
  <c r="BC17" i="25"/>
  <c r="BD17" i="25" s="1"/>
  <c r="CF17" i="25"/>
  <c r="CF56" i="25"/>
  <c r="CI56" i="25" s="1"/>
  <c r="CJ56" i="25" s="1"/>
  <c r="F62" i="25"/>
  <c r="F63" i="25" s="1"/>
  <c r="AM62" i="25"/>
  <c r="AK62" i="25"/>
  <c r="CI48" i="25"/>
  <c r="CJ48" i="25" s="1"/>
  <c r="CF11" i="25"/>
  <c r="CI11" i="25" s="1"/>
  <c r="CJ11" i="25" s="1"/>
  <c r="BT32" i="25"/>
  <c r="BZ32" i="25"/>
  <c r="I62" i="25"/>
  <c r="BV32" i="25"/>
  <c r="BX32" i="25"/>
  <c r="CC32" i="25"/>
  <c r="U62" i="25"/>
  <c r="O62" i="25"/>
  <c r="AE62" i="25"/>
  <c r="AA62" i="25"/>
  <c r="K62" i="25"/>
  <c r="G62" i="25"/>
  <c r="S62" i="25"/>
  <c r="M62" i="25"/>
  <c r="BA45" i="25"/>
  <c r="BA61" i="25"/>
  <c r="BA40" i="25"/>
  <c r="BN20" i="25"/>
  <c r="BV20" i="25"/>
  <c r="CC20" i="25"/>
  <c r="BV19" i="25"/>
  <c r="BZ19" i="25"/>
  <c r="CC19" i="25"/>
  <c r="CC18" i="25"/>
  <c r="BL18" i="25"/>
  <c r="BR18" i="25"/>
  <c r="BV23" i="25"/>
  <c r="BN23" i="25"/>
  <c r="BR23" i="25"/>
  <c r="BX23" i="25"/>
  <c r="BX21" i="25"/>
  <c r="BZ21" i="25"/>
  <c r="BP21" i="25"/>
  <c r="BA20" i="25"/>
  <c r="BT20" i="25"/>
  <c r="BX20" i="25"/>
  <c r="BZ20" i="25"/>
  <c r="BR20" i="25"/>
  <c r="BF20" i="25"/>
  <c r="BL20" i="25"/>
  <c r="BX19" i="25"/>
  <c r="Y62" i="25"/>
  <c r="AP18" i="25"/>
  <c r="AO62" i="25" s="1"/>
  <c r="BP18" i="25"/>
  <c r="BV18" i="25"/>
  <c r="AJ18" i="25"/>
  <c r="AI62" i="25" s="1"/>
  <c r="AR18" i="25"/>
  <c r="AQ62" i="25" s="1"/>
  <c r="BZ18" i="25"/>
  <c r="AC62" i="25"/>
  <c r="AT18" i="25"/>
  <c r="AS62" i="25" s="1"/>
  <c r="BF18" i="25"/>
  <c r="BN18" i="25"/>
  <c r="W62" i="25"/>
  <c r="AV18" i="25"/>
  <c r="AU62" i="25" s="1"/>
  <c r="BH18" i="25"/>
  <c r="BG62" i="25" s="1"/>
  <c r="BG63" i="25" s="1"/>
  <c r="BT18" i="25"/>
  <c r="Q62" i="25"/>
  <c r="AH18" i="25"/>
  <c r="AG62" i="25" s="1"/>
  <c r="AX18" i="25"/>
  <c r="AW62" i="25" s="1"/>
  <c r="BL41" i="25"/>
  <c r="BJ41" i="25"/>
  <c r="BI62" i="25" s="1"/>
  <c r="BI63" i="25" s="1"/>
  <c r="BT41" i="25"/>
  <c r="BN41" i="25"/>
  <c r="BR41" i="25"/>
  <c r="BZ41" i="25"/>
  <c r="BX41" i="25"/>
  <c r="BV41" i="25"/>
  <c r="CC41" i="25"/>
  <c r="CF59" i="25"/>
  <c r="CI59" i="25" s="1"/>
  <c r="CJ59" i="25" s="1"/>
  <c r="BA53" i="25"/>
  <c r="CF51" i="25"/>
  <c r="CI51" i="25" s="1"/>
  <c r="CJ51" i="25" s="1"/>
  <c r="BC58" i="25"/>
  <c r="BD58" i="25" s="1"/>
  <c r="BC59" i="25"/>
  <c r="BD59" i="25" s="1"/>
  <c r="BC54" i="25"/>
  <c r="BD54" i="25" s="1"/>
  <c r="BC48" i="25"/>
  <c r="BD48" i="25" s="1"/>
  <c r="BC49" i="25"/>
  <c r="BD49" i="25" s="1"/>
  <c r="BC46" i="25"/>
  <c r="BD46" i="25" s="1"/>
  <c r="BC42" i="25"/>
  <c r="BD42" i="25" s="1"/>
  <c r="BC51" i="25"/>
  <c r="BD51" i="25" s="1"/>
  <c r="BC50" i="25"/>
  <c r="BD50" i="25" s="1"/>
  <c r="BC57" i="25"/>
  <c r="BD57" i="25" s="1"/>
  <c r="BC56" i="25"/>
  <c r="BD56" i="25" s="1"/>
  <c r="BZ50" i="25"/>
  <c r="BV50" i="25"/>
  <c r="CC50" i="25"/>
  <c r="CC48" i="25"/>
  <c r="BZ48" i="25"/>
  <c r="BX48" i="25"/>
  <c r="BT48" i="25"/>
  <c r="CF43" i="25"/>
  <c r="CI43" i="25" s="1"/>
  <c r="CJ43" i="25" s="1"/>
  <c r="CI44" i="25"/>
  <c r="CJ44" i="25" s="1"/>
  <c r="CF52" i="25"/>
  <c r="CI52" i="25" s="1"/>
  <c r="CJ52" i="25" s="1"/>
  <c r="CF60" i="25"/>
  <c r="CI60" i="25" s="1"/>
  <c r="CJ60" i="25" s="1"/>
  <c r="CF47" i="25"/>
  <c r="CI47" i="25" s="1"/>
  <c r="CJ47" i="25" s="1"/>
  <c r="CF55" i="25"/>
  <c r="CI55" i="25" s="1"/>
  <c r="CJ55" i="25" s="1"/>
  <c r="CF21" i="25"/>
  <c r="CF13" i="25"/>
  <c r="CF15" i="25"/>
  <c r="CI15" i="25" s="1"/>
  <c r="CJ15" i="25" s="1"/>
  <c r="CF18" i="25"/>
  <c r="CC9" i="25"/>
  <c r="CF35" i="25"/>
  <c r="CI35" i="25" s="1"/>
  <c r="CJ35" i="25" s="1"/>
  <c r="CF27" i="25"/>
  <c r="CI27" i="25" s="1"/>
  <c r="CJ27" i="25" s="1"/>
  <c r="CF34" i="25"/>
  <c r="CI34" i="25" s="1"/>
  <c r="CJ34" i="25" s="1"/>
  <c r="CF26" i="25"/>
  <c r="E26" i="30" s="1"/>
  <c r="CF33" i="25"/>
  <c r="CI33" i="25" s="1"/>
  <c r="CJ33" i="25" s="1"/>
  <c r="CF32" i="25"/>
  <c r="CI32" i="25" s="1"/>
  <c r="CJ32" i="25" s="1"/>
  <c r="CF24" i="25"/>
  <c r="CI24" i="25" s="1"/>
  <c r="CJ24" i="25" s="1"/>
  <c r="CF39" i="25"/>
  <c r="CI39" i="25" s="1"/>
  <c r="CJ39" i="25" s="1"/>
  <c r="CF38" i="25"/>
  <c r="CI38" i="25" s="1"/>
  <c r="CJ38" i="25" s="1"/>
  <c r="CF37" i="25"/>
  <c r="CI37" i="25" s="1"/>
  <c r="CJ37" i="25" s="1"/>
  <c r="CF29" i="25"/>
  <c r="CI29" i="25" s="1"/>
  <c r="CJ29" i="25" s="1"/>
  <c r="BA25" i="25"/>
  <c r="BC10" i="25"/>
  <c r="BD10" i="25" s="1"/>
  <c r="BC28" i="25"/>
  <c r="BD28" i="25" s="1"/>
  <c r="BC30" i="25"/>
  <c r="BD30" i="25" s="1"/>
  <c r="BA38" i="25"/>
  <c r="BA17" i="25"/>
  <c r="BC20" i="25"/>
  <c r="BD20" i="25" s="1"/>
  <c r="BC15" i="25"/>
  <c r="BD15" i="25" s="1"/>
  <c r="BA26" i="25"/>
  <c r="BC34" i="25"/>
  <c r="BD34" i="25" s="1"/>
  <c r="BA34" i="25"/>
  <c r="BC14" i="25"/>
  <c r="BD14" i="25" s="1"/>
  <c r="BC35" i="25"/>
  <c r="BD35" i="25" s="1"/>
  <c r="BA32" i="25"/>
  <c r="BC16" i="25"/>
  <c r="BD16" i="25" s="1"/>
  <c r="BA15" i="25"/>
  <c r="CF57" i="25"/>
  <c r="CI57" i="25" s="1"/>
  <c r="CJ57" i="25" s="1"/>
  <c r="BA47" i="25"/>
  <c r="CF14" i="25"/>
  <c r="BC9" i="25"/>
  <c r="BD9" i="25" s="1"/>
  <c r="BA27" i="25"/>
  <c r="BA55" i="25"/>
  <c r="CF50" i="25"/>
  <c r="CI50" i="25" s="1"/>
  <c r="CJ50" i="25" s="1"/>
  <c r="BC33" i="25"/>
  <c r="BD33" i="25" s="1"/>
  <c r="CF9" i="25"/>
  <c r="BA24" i="25"/>
  <c r="BC31" i="25"/>
  <c r="BD31" i="25" s="1"/>
  <c r="BA11" i="25"/>
  <c r="CF25" i="25"/>
  <c r="CI25" i="25" s="1"/>
  <c r="CJ25" i="25" s="1"/>
  <c r="CF61" i="25"/>
  <c r="CI61" i="25" s="1"/>
  <c r="CJ61" i="25" s="1"/>
  <c r="BA21" i="25"/>
  <c r="BA18" i="25"/>
  <c r="CF20" i="25"/>
  <c r="E20" i="30" s="1"/>
  <c r="CF41" i="25"/>
  <c r="CI41" i="25" s="1"/>
  <c r="CJ41" i="25" s="1"/>
  <c r="BC27" i="25"/>
  <c r="BD27" i="25" s="1"/>
  <c r="BA41" i="25"/>
  <c r="CF10" i="25"/>
  <c r="E10" i="30" s="1"/>
  <c r="CF23" i="25"/>
  <c r="BA43" i="25"/>
  <c r="BC18" i="25"/>
  <c r="BD18" i="25" s="1"/>
  <c r="BC21" i="25"/>
  <c r="BD21" i="25" s="1"/>
  <c r="BA51" i="25"/>
  <c r="CF28" i="25"/>
  <c r="CI28" i="25" s="1"/>
  <c r="CJ28" i="25" s="1"/>
  <c r="CF42" i="25"/>
  <c r="CI42" i="25" s="1"/>
  <c r="CJ42" i="25" s="1"/>
  <c r="CF53" i="25"/>
  <c r="CI53" i="25" s="1"/>
  <c r="CJ53" i="25" s="1"/>
  <c r="BA33" i="25"/>
  <c r="BC23" i="25"/>
  <c r="BD23" i="25" s="1"/>
  <c r="CF49" i="25"/>
  <c r="CI49" i="25" s="1"/>
  <c r="CJ49" i="25" s="1"/>
  <c r="BA22" i="25"/>
  <c r="BA59" i="25"/>
  <c r="CF31" i="25"/>
  <c r="CI31" i="25" s="1"/>
  <c r="CJ31" i="25" s="1"/>
  <c r="CF58" i="25"/>
  <c r="CI58" i="25" s="1"/>
  <c r="CJ58" i="25" s="1"/>
  <c r="CF45" i="25"/>
  <c r="CI45" i="25" s="1"/>
  <c r="CJ45" i="25" s="1"/>
  <c r="BC39" i="25"/>
  <c r="BD39" i="25" s="1"/>
  <c r="BA36" i="25"/>
  <c r="BA44" i="25"/>
  <c r="BA48" i="25"/>
  <c r="BA52" i="25"/>
  <c r="BA56" i="25"/>
  <c r="BA60" i="25"/>
  <c r="CF36" i="25"/>
  <c r="CI36" i="25" s="1"/>
  <c r="CJ36" i="25" s="1"/>
  <c r="BC32" i="25"/>
  <c r="BD32" i="25" s="1"/>
  <c r="BC24" i="25"/>
  <c r="BD24" i="25" s="1"/>
  <c r="BC38" i="25"/>
  <c r="BD38" i="25" s="1"/>
  <c r="CF16" i="25"/>
  <c r="E16" i="30" s="1"/>
  <c r="CF19" i="25"/>
  <c r="E19" i="30" s="1"/>
  <c r="CF22" i="25"/>
  <c r="E22" i="30" s="1"/>
  <c r="CF30" i="25"/>
  <c r="CI30" i="25" s="1"/>
  <c r="CJ30" i="25" s="1"/>
  <c r="CF46" i="25"/>
  <c r="CI46" i="25" s="1"/>
  <c r="CJ46" i="25" s="1"/>
  <c r="CF54" i="25"/>
  <c r="CI54" i="25" s="1"/>
  <c r="CJ54" i="25" s="1"/>
  <c r="BC11" i="25"/>
  <c r="BD11" i="25" s="1"/>
  <c r="BA37" i="25"/>
  <c r="BC29" i="25"/>
  <c r="BD29" i="25" s="1"/>
  <c r="CF40" i="25"/>
  <c r="CI40" i="25" s="1"/>
  <c r="CJ40" i="25" s="1"/>
  <c r="BA39" i="25"/>
  <c r="BA19" i="25"/>
  <c r="BC37" i="25"/>
  <c r="BD37" i="25" s="1"/>
  <c r="BC26" i="25"/>
  <c r="BD26" i="25" s="1"/>
  <c r="BA13" i="25"/>
  <c r="BC13" i="25"/>
  <c r="BD13" i="25" s="1"/>
  <c r="AY62" i="25"/>
  <c r="BA12" i="25"/>
  <c r="CF12" i="25"/>
  <c r="E12" i="30" s="1"/>
  <c r="BC12" i="25"/>
  <c r="AU63" i="25" l="1"/>
  <c r="D22" i="31"/>
  <c r="W63" i="25"/>
  <c r="D10" i="31"/>
  <c r="K63" i="25"/>
  <c r="D4" i="31"/>
  <c r="AA63" i="25"/>
  <c r="D12" i="31"/>
  <c r="U63" i="25"/>
  <c r="D9" i="31"/>
  <c r="AG63" i="25"/>
  <c r="D15" i="31"/>
  <c r="AM63" i="25"/>
  <c r="D18" i="31"/>
  <c r="M63" i="25"/>
  <c r="D5" i="31"/>
  <c r="G63" i="25"/>
  <c r="D2" i="31"/>
  <c r="AS63" i="25"/>
  <c r="D21" i="31"/>
  <c r="AE63" i="25"/>
  <c r="D14" i="31"/>
  <c r="AQ63" i="25"/>
  <c r="D20" i="31"/>
  <c r="AO63" i="25"/>
  <c r="D19" i="31"/>
  <c r="Y63" i="25"/>
  <c r="D11" i="31"/>
  <c r="AK63" i="25"/>
  <c r="D17" i="31"/>
  <c r="S63" i="25"/>
  <c r="D8" i="31"/>
  <c r="AC63" i="25"/>
  <c r="D13" i="31"/>
  <c r="O63" i="25"/>
  <c r="D6" i="31"/>
  <c r="AI63" i="25"/>
  <c r="D16" i="31"/>
  <c r="I63" i="25"/>
  <c r="D3" i="31"/>
  <c r="AW63" i="25"/>
  <c r="D23" i="31"/>
  <c r="Q63" i="25"/>
  <c r="D7" i="31"/>
  <c r="E56" i="30"/>
  <c r="G56" i="30" s="1"/>
  <c r="E11" i="30"/>
  <c r="F11" i="30" s="1"/>
  <c r="E15" i="30"/>
  <c r="F15" i="30" s="1"/>
  <c r="CI14" i="25"/>
  <c r="CJ14" i="25" s="1"/>
  <c r="E14" i="30"/>
  <c r="G14" i="30" s="1"/>
  <c r="CI18" i="25"/>
  <c r="CJ18" i="25" s="1"/>
  <c r="E18" i="30"/>
  <c r="F18" i="30" s="1"/>
  <c r="CI21" i="25"/>
  <c r="CJ21" i="25" s="1"/>
  <c r="E21" i="30"/>
  <c r="F21" i="30" s="1"/>
  <c r="CI13" i="25"/>
  <c r="CJ13" i="25" s="1"/>
  <c r="E13" i="30"/>
  <c r="F13" i="30" s="1"/>
  <c r="E49" i="30"/>
  <c r="F49" i="30" s="1"/>
  <c r="E48" i="30"/>
  <c r="F48" i="30" s="1"/>
  <c r="E51" i="30"/>
  <c r="G51" i="30" s="1"/>
  <c r="E60" i="30"/>
  <c r="E52" i="30"/>
  <c r="F52" i="30" s="1"/>
  <c r="E53" i="30"/>
  <c r="F53" i="30" s="1"/>
  <c r="E54" i="30"/>
  <c r="F54" i="30" s="1"/>
  <c r="E57" i="30"/>
  <c r="F57" i="30" s="1"/>
  <c r="E59" i="30"/>
  <c r="BE62" i="25"/>
  <c r="BE63" i="25" s="1"/>
  <c r="BO62" i="25"/>
  <c r="BO63" i="25" s="1"/>
  <c r="BQ62" i="25"/>
  <c r="BQ63" i="25" s="1"/>
  <c r="BK62" i="25"/>
  <c r="BK63" i="25" s="1"/>
  <c r="BM62" i="25"/>
  <c r="BM63" i="25" s="1"/>
  <c r="BW62" i="25"/>
  <c r="BW63" i="25" s="1"/>
  <c r="BU62" i="25"/>
  <c r="BU63" i="25" s="1"/>
  <c r="BS62" i="25"/>
  <c r="BS63" i="25" s="1"/>
  <c r="E47" i="30"/>
  <c r="G47" i="30" s="1"/>
  <c r="E40" i="30"/>
  <c r="F40" i="30" s="1"/>
  <c r="E44" i="30"/>
  <c r="F44" i="30" s="1"/>
  <c r="BY62" i="25"/>
  <c r="BY63" i="25" s="1"/>
  <c r="E37" i="30"/>
  <c r="F37" i="30" s="1"/>
  <c r="E45" i="30"/>
  <c r="F45" i="30" s="1"/>
  <c r="E42" i="30"/>
  <c r="G42" i="30" s="1"/>
  <c r="E50" i="30"/>
  <c r="F50" i="30" s="1"/>
  <c r="E55" i="30"/>
  <c r="F55" i="30" s="1"/>
  <c r="E38" i="30"/>
  <c r="F38" i="30" s="1"/>
  <c r="E58" i="30"/>
  <c r="E46" i="30"/>
  <c r="E43" i="30"/>
  <c r="E41" i="30"/>
  <c r="E39" i="30"/>
  <c r="E36" i="30"/>
  <c r="E35" i="30"/>
  <c r="E34" i="30"/>
  <c r="E31" i="30"/>
  <c r="E33" i="30"/>
  <c r="E28" i="30"/>
  <c r="E30" i="30"/>
  <c r="E29" i="30"/>
  <c r="E32" i="30"/>
  <c r="E27" i="30"/>
  <c r="E61" i="30"/>
  <c r="CC62" i="25"/>
  <c r="CA62" i="25"/>
  <c r="CI26" i="25"/>
  <c r="CJ26" i="25" s="1"/>
  <c r="E24" i="30"/>
  <c r="F24" i="30" s="1"/>
  <c r="CI9" i="25"/>
  <c r="CJ9" i="25" s="1"/>
  <c r="E9" i="30"/>
  <c r="E25" i="30"/>
  <c r="G25" i="30" s="1"/>
  <c r="CI23" i="25"/>
  <c r="CJ23" i="25" s="1"/>
  <c r="E23" i="30"/>
  <c r="CI10" i="25"/>
  <c r="CJ10" i="25" s="1"/>
  <c r="CI20" i="25"/>
  <c r="CJ20" i="25" s="1"/>
  <c r="CI19" i="25"/>
  <c r="CJ19" i="25" s="1"/>
  <c r="CI16" i="25"/>
  <c r="CJ16" i="25" s="1"/>
  <c r="G26" i="30"/>
  <c r="F26" i="30"/>
  <c r="CI22" i="25"/>
  <c r="CJ22" i="25" s="1"/>
  <c r="BA62" i="25"/>
  <c r="CI12" i="25"/>
  <c r="CJ12" i="25" s="1"/>
  <c r="BB62" i="25"/>
  <c r="BD12" i="25"/>
  <c r="BD62" i="25" s="1"/>
  <c r="BD63" i="25" s="1"/>
  <c r="F56" i="30" l="1"/>
  <c r="CF62" i="25"/>
  <c r="E17" i="30"/>
  <c r="G17" i="30" s="1"/>
  <c r="CC63" i="25"/>
  <c r="BA63" i="25"/>
  <c r="G49" i="30"/>
  <c r="F51" i="30"/>
  <c r="G57" i="30"/>
  <c r="G53" i="30"/>
  <c r="G54" i="30"/>
  <c r="G48" i="30"/>
  <c r="F60" i="30"/>
  <c r="G60" i="30"/>
  <c r="G52" i="30"/>
  <c r="G59" i="30"/>
  <c r="F59" i="30"/>
  <c r="G11" i="30"/>
  <c r="G40" i="30"/>
  <c r="F47" i="30"/>
  <c r="G44" i="30"/>
  <c r="G37" i="30"/>
  <c r="G45" i="30"/>
  <c r="F42" i="30"/>
  <c r="G50" i="30"/>
  <c r="G55" i="30"/>
  <c r="G38" i="30"/>
  <c r="G58" i="30"/>
  <c r="F58" i="30"/>
  <c r="F46" i="30"/>
  <c r="G46" i="30"/>
  <c r="F43" i="30"/>
  <c r="G43" i="30"/>
  <c r="F41" i="30"/>
  <c r="G41" i="30"/>
  <c r="G39" i="30"/>
  <c r="F39" i="30"/>
  <c r="G36" i="30"/>
  <c r="F36" i="30"/>
  <c r="G35" i="30"/>
  <c r="F35" i="30"/>
  <c r="F32" i="30"/>
  <c r="G32" i="30"/>
  <c r="F29" i="30"/>
  <c r="G29" i="30"/>
  <c r="G30" i="30"/>
  <c r="F30" i="30"/>
  <c r="G28" i="30"/>
  <c r="F28" i="30"/>
  <c r="G33" i="30"/>
  <c r="F33" i="30"/>
  <c r="F31" i="30"/>
  <c r="G31" i="30"/>
  <c r="G34" i="30"/>
  <c r="F34" i="30"/>
  <c r="F27" i="30"/>
  <c r="G27" i="30"/>
  <c r="G61" i="30"/>
  <c r="F61" i="30"/>
  <c r="G21" i="30"/>
  <c r="G13" i="30"/>
  <c r="CI17" i="25"/>
  <c r="CJ17" i="25" s="1"/>
  <c r="G15" i="30"/>
  <c r="G18" i="30"/>
  <c r="G24" i="30"/>
  <c r="F14" i="30"/>
  <c r="F25" i="30"/>
  <c r="F9" i="30"/>
  <c r="G9" i="30"/>
  <c r="F23" i="30"/>
  <c r="G23" i="30"/>
  <c r="F20" i="30"/>
  <c r="G20" i="30"/>
  <c r="F10" i="30"/>
  <c r="G10" i="30"/>
  <c r="F19" i="30"/>
  <c r="G19" i="30"/>
  <c r="G22" i="30"/>
  <c r="F22" i="30"/>
  <c r="G16" i="30"/>
  <c r="F16" i="30"/>
  <c r="G12" i="30"/>
  <c r="F12" i="30"/>
  <c r="CI62" i="25" l="1"/>
  <c r="CI63" i="25" s="1"/>
  <c r="F17" i="30"/>
</calcChain>
</file>

<file path=xl/sharedStrings.xml><?xml version="1.0" encoding="utf-8"?>
<sst xmlns="http://schemas.openxmlformats.org/spreadsheetml/2006/main" count="112" uniqueCount="67">
  <si>
    <t>Master</t>
  </si>
  <si>
    <t>AB</t>
  </si>
  <si>
    <t>OS</t>
  </si>
  <si>
    <t>Cook</t>
  </si>
  <si>
    <t>Final stock</t>
  </si>
  <si>
    <t>pcs</t>
  </si>
  <si>
    <t>No</t>
  </si>
  <si>
    <t>Crew</t>
  </si>
  <si>
    <t>Close stock</t>
  </si>
  <si>
    <t xml:space="preserve">Open Stock </t>
  </si>
  <si>
    <t>Representative</t>
  </si>
  <si>
    <t>Bosun</t>
  </si>
  <si>
    <t>Universal Card</t>
  </si>
  <si>
    <t>BOND STORE</t>
  </si>
  <si>
    <t>BEGIN OF MONTH</t>
  </si>
  <si>
    <t>END OF MONTH</t>
  </si>
  <si>
    <t>Winston Blue</t>
  </si>
  <si>
    <t>crt</t>
  </si>
  <si>
    <t>Prestigio chocolate , 33 g</t>
  </si>
  <si>
    <t>pkt</t>
  </si>
  <si>
    <t>Mixed nuts Brazil , 50 g</t>
  </si>
  <si>
    <t>Pantene Keratine shampoo, 500ml</t>
  </si>
  <si>
    <t>tube</t>
  </si>
  <si>
    <t>Nivea antiperspirant, 50ml  05.26</t>
  </si>
  <si>
    <t>roller</t>
  </si>
  <si>
    <t xml:space="preserve">Tooth brush </t>
  </si>
  <si>
    <t>Disposable lighter</t>
  </si>
  <si>
    <t>Antwerp</t>
  </si>
  <si>
    <t>FANTA ORANGE 24X33 CL TIN</t>
  </si>
  <si>
    <t>Case</t>
  </si>
  <si>
    <t>PEPSI COLA 24X33 CL TIN</t>
  </si>
  <si>
    <t>SPRITE 24X33CL TINS LEMON</t>
  </si>
  <si>
    <t>BOUNTY - 24 X 57 GR</t>
  </si>
  <si>
    <t>MARS - 24 X 51 GR</t>
  </si>
  <si>
    <t>CHOCOLATES TWIX - 25 X 50 GR</t>
  </si>
  <si>
    <t>COCA COLA 24X33 CL TINS</t>
  </si>
  <si>
    <t>case</t>
  </si>
  <si>
    <t>CADBURRY CHOCOLATE DAIRY MILK</t>
  </si>
  <si>
    <t>box</t>
  </si>
  <si>
    <t>RITTERSPORT ALMOND</t>
  </si>
  <si>
    <t>RITTERSPORT ALPINE MILK</t>
  </si>
  <si>
    <t>Bremerhaven</t>
  </si>
  <si>
    <t>Winston Red</t>
  </si>
  <si>
    <t>Beer Carlsberg 24x33CL tins</t>
  </si>
  <si>
    <t>Wine White</t>
  </si>
  <si>
    <t>btl</t>
  </si>
  <si>
    <t>Wine Red</t>
  </si>
  <si>
    <t>Bounty</t>
  </si>
  <si>
    <t>Pringles Hot&amp;Spicy</t>
  </si>
  <si>
    <t>Pistacos salted</t>
  </si>
  <si>
    <t>Peanuts salted</t>
  </si>
  <si>
    <t>can</t>
  </si>
  <si>
    <t>Colgate toothpaste</t>
  </si>
  <si>
    <t>Shauma Shampoo</t>
  </si>
  <si>
    <t>Electrician</t>
  </si>
  <si>
    <t>Motorman</t>
  </si>
  <si>
    <t>Fitter</t>
  </si>
  <si>
    <t>Crew List</t>
  </si>
  <si>
    <t>2/E</t>
  </si>
  <si>
    <t>C/E</t>
  </si>
  <si>
    <t>3/Off</t>
  </si>
  <si>
    <t>C/Off</t>
  </si>
  <si>
    <t>Reps List</t>
  </si>
  <si>
    <t>Date</t>
  </si>
  <si>
    <t>Bond</t>
  </si>
  <si>
    <t>Introduction is read: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</si>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</sst>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[$$-409]#,##0.00"/>
    <numFmt numFmtId="165" formatCode="[$€-2]\ #,##0.00"/>
    <numFmt numFmtId="166" formatCode="mmmm\ yyyy"/>
    <numFmt numFmtId="167" formatCode="_-[$$-409]* #,##0.00_ ;_-[$$-409]* \-#,##0.00\ ;_-[$$-409]* &quot;-&quot;??_ ;_-@_ "/>
    <numFmt numFmtId="168" formatCode="_-[$€-2]\ * #,##0.00_-;\-[$€-2]\ * #,##0.00_-;_-[$€-2]\ * &quot;-&quot;??_-;_-@_-"/>
    <numFmt numFmtId="169" formatCode="dd/mm"/>
    <numFmt numFmtId="170" formatCode="[$$-409]#,##0.00;\-[$$-409]#,##0.00;;@"/>
    <numFmt numFmtId="171" formatCode="#;\-#;;@"/>
    <numFmt numFmtId="172" formatCode="[$$-409]#,##0.00_ ;\-[$$-409]#,##0.00;;@"/>
  </numFmts>
  <fonts count="23" x14ac:knownFonts="1">
    <font>
      <sz val="10"/>
      <name val="Arial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11"/>
      <name val="Arial"/>
      <family val="2"/>
    </font>
    <font>
      <b/>
      <u/>
      <sz val="20"/>
      <name val="Arial"/>
      <family val="2"/>
      <charset val="204"/>
    </font>
    <font>
      <b/>
      <sz val="18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0"/>
      <color theme="1"/>
      <name val="Arial"/>
      <family val="2"/>
      <charset val="204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b/>
      <sz val="11"/>
      <color rgb="FFFF0000"/>
      <name val="Arial"/>
      <family val="2"/>
    </font>
    <font>
      <b/>
      <sz val="16"/>
      <color rgb="FFFF0000"/>
      <name val="Arial"/>
      <family val="2"/>
      <charset val="204"/>
    </font>
    <font>
      <sz val="10"/>
      <color rgb="FFFF0000"/>
      <name val="Arial"/>
      <family val="2"/>
    </font>
    <font>
      <b/>
      <sz val="14"/>
      <color theme="4" tint="-0.249977111117893"/>
      <name val="Arial"/>
      <family val="2"/>
      <charset val="204"/>
    </font>
    <font>
      <b/>
      <sz val="14"/>
      <color theme="4" tint="-0.249977111117893"/>
      <name val="Arial"/>
      <family val="2"/>
    </font>
    <font>
      <sz val="8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3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0" xfId="0" applyFont="1"/>
    <xf numFmtId="0" fontId="4" fillId="0" borderId="1" xfId="0" applyFont="1" applyBorder="1"/>
    <xf numFmtId="0" fontId="3" fillId="2" borderId="36" xfId="0" applyFont="1" applyFill="1" applyBorder="1" applyAlignment="1">
      <alignment horizontal="center"/>
    </xf>
    <xf numFmtId="0" fontId="1" fillId="2" borderId="38" xfId="0" applyFont="1" applyFill="1" applyBorder="1" applyAlignment="1">
      <alignment horizontal="center"/>
    </xf>
    <xf numFmtId="0" fontId="1" fillId="2" borderId="39" xfId="0" applyFont="1" applyFill="1" applyBorder="1" applyAlignment="1">
      <alignment horizontal="center"/>
    </xf>
    <xf numFmtId="1" fontId="5" fillId="3" borderId="44" xfId="0" applyNumberFormat="1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6" fillId="0" borderId="0" xfId="0" applyFont="1"/>
    <xf numFmtId="0" fontId="8" fillId="0" borderId="0" xfId="0" applyFont="1"/>
    <xf numFmtId="0" fontId="4" fillId="0" borderId="42" xfId="0" applyFont="1" applyBorder="1" applyAlignment="1">
      <alignment horizontal="center"/>
    </xf>
    <xf numFmtId="164" fontId="6" fillId="0" borderId="43" xfId="0" applyNumberFormat="1" applyFont="1" applyBorder="1" applyAlignment="1">
      <alignment horizontal="center"/>
    </xf>
    <xf numFmtId="0" fontId="4" fillId="0" borderId="46" xfId="0" applyFont="1" applyBorder="1" applyAlignment="1">
      <alignment horizontal="center"/>
    </xf>
    <xf numFmtId="0" fontId="4" fillId="0" borderId="47" xfId="0" applyFont="1" applyBorder="1"/>
    <xf numFmtId="0" fontId="3" fillId="2" borderId="47" xfId="0" applyFont="1" applyFill="1" applyBorder="1" applyAlignment="1">
      <alignment horizontal="center" vertical="center"/>
    </xf>
    <xf numFmtId="164" fontId="6" fillId="0" borderId="48" xfId="0" applyNumberFormat="1" applyFont="1" applyBorder="1" applyAlignment="1">
      <alignment horizontal="center"/>
    </xf>
    <xf numFmtId="1" fontId="4" fillId="3" borderId="36" xfId="0" applyNumberFormat="1" applyFont="1" applyFill="1" applyBorder="1" applyAlignment="1">
      <alignment horizontal="center"/>
    </xf>
    <xf numFmtId="1" fontId="4" fillId="3" borderId="47" xfId="0" applyNumberFormat="1" applyFont="1" applyFill="1" applyBorder="1" applyAlignment="1">
      <alignment horizontal="center"/>
    </xf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2" fillId="0" borderId="52" xfId="0" applyFont="1" applyBorder="1"/>
    <xf numFmtId="0" fontId="2" fillId="0" borderId="53" xfId="0" applyFont="1" applyBorder="1"/>
    <xf numFmtId="0" fontId="0" fillId="0" borderId="54" xfId="0" applyBorder="1"/>
    <xf numFmtId="0" fontId="0" fillId="0" borderId="55" xfId="0" applyBorder="1"/>
    <xf numFmtId="164" fontId="17" fillId="0" borderId="55" xfId="0" applyNumberFormat="1" applyFont="1" applyBorder="1" applyProtection="1">
      <protection locked="0"/>
    </xf>
    <xf numFmtId="0" fontId="17" fillId="0" borderId="55" xfId="0" applyFont="1" applyBorder="1" applyProtection="1">
      <protection locked="0"/>
    </xf>
    <xf numFmtId="164" fontId="0" fillId="0" borderId="55" xfId="0" applyNumberFormat="1" applyBorder="1" applyAlignment="1">
      <alignment horizontal="center"/>
    </xf>
    <xf numFmtId="0" fontId="0" fillId="0" borderId="56" xfId="0" applyBorder="1"/>
    <xf numFmtId="0" fontId="1" fillId="0" borderId="3" xfId="0" applyFont="1" applyBorder="1" applyAlignment="1">
      <alignment horizontal="left" vertical="center"/>
    </xf>
    <xf numFmtId="165" fontId="2" fillId="0" borderId="57" xfId="0" applyNumberFormat="1" applyFont="1" applyBorder="1" applyAlignment="1">
      <alignment horizontal="center"/>
    </xf>
    <xf numFmtId="164" fontId="2" fillId="0" borderId="57" xfId="0" applyNumberFormat="1" applyFont="1" applyBorder="1" applyAlignment="1">
      <alignment horizontal="center"/>
    </xf>
    <xf numFmtId="0" fontId="0" fillId="0" borderId="0" xfId="0" applyProtection="1">
      <protection locked="0"/>
    </xf>
    <xf numFmtId="0" fontId="1" fillId="0" borderId="10" xfId="0" applyFont="1" applyBorder="1" applyAlignment="1">
      <alignment wrapText="1"/>
    </xf>
    <xf numFmtId="0" fontId="0" fillId="0" borderId="10" xfId="0" applyBorder="1" applyAlignment="1">
      <alignment wrapText="1"/>
    </xf>
    <xf numFmtId="0" fontId="1" fillId="0" borderId="4" xfId="0" applyFont="1" applyBorder="1" applyAlignment="1">
      <alignment horizontal="center"/>
    </xf>
    <xf numFmtId="0" fontId="12" fillId="0" borderId="3" xfId="0" applyFont="1" applyBorder="1" applyAlignment="1" applyProtection="1">
      <alignment horizontal="left" vertical="center"/>
      <protection locked="0"/>
    </xf>
    <xf numFmtId="1" fontId="7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1" fillId="0" borderId="61" xfId="0" applyFont="1" applyBorder="1" applyAlignment="1">
      <alignment horizontal="center"/>
    </xf>
    <xf numFmtId="0" fontId="12" fillId="0" borderId="36" xfId="0" applyFont="1" applyBorder="1" applyAlignment="1">
      <alignment horizontal="left"/>
    </xf>
    <xf numFmtId="165" fontId="0" fillId="0" borderId="0" xfId="0" applyNumberFormat="1"/>
    <xf numFmtId="0" fontId="1" fillId="0" borderId="23" xfId="0" applyFont="1" applyBorder="1" applyAlignment="1">
      <alignment horizontal="center"/>
    </xf>
    <xf numFmtId="0" fontId="1" fillId="0" borderId="62" xfId="0" applyFont="1" applyBorder="1" applyAlignment="1">
      <alignment horizontal="center"/>
    </xf>
    <xf numFmtId="0" fontId="12" fillId="0" borderId="1" xfId="0" applyFont="1" applyBorder="1" applyAlignment="1">
      <alignment horizontal="left"/>
    </xf>
    <xf numFmtId="0" fontId="1" fillId="0" borderId="12" xfId="0" applyFont="1" applyBorder="1" applyAlignment="1">
      <alignment horizontal="center"/>
    </xf>
    <xf numFmtId="0" fontId="1" fillId="0" borderId="63" xfId="0" applyFont="1" applyBorder="1" applyAlignment="1">
      <alignment horizontal="center"/>
    </xf>
    <xf numFmtId="0" fontId="1" fillId="0" borderId="3" xfId="0" applyFont="1" applyBorder="1" applyAlignment="1" applyProtection="1">
      <alignment horizontal="left" vertical="center"/>
      <protection locked="0"/>
    </xf>
    <xf numFmtId="1" fontId="5" fillId="0" borderId="2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left"/>
    </xf>
    <xf numFmtId="0" fontId="1" fillId="0" borderId="58" xfId="0" applyFont="1" applyBorder="1" applyAlignment="1" applyProtection="1">
      <alignment horizontal="left" vertical="center"/>
      <protection locked="0"/>
    </xf>
    <xf numFmtId="1" fontId="5" fillId="0" borderId="44" xfId="0" applyNumberFormat="1" applyFont="1" applyBorder="1" applyAlignment="1" applyProtection="1">
      <alignment horizontal="center"/>
      <protection locked="0"/>
    </xf>
    <xf numFmtId="0" fontId="2" fillId="0" borderId="44" xfId="0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left" vertical="center"/>
      <protection locked="0"/>
    </xf>
    <xf numFmtId="0" fontId="1" fillId="0" borderId="21" xfId="0" applyFont="1" applyBorder="1" applyAlignment="1" applyProtection="1">
      <alignment horizontal="left" vertical="center"/>
      <protection locked="0"/>
    </xf>
    <xf numFmtId="1" fontId="5" fillId="0" borderId="35" xfId="0" applyNumberFormat="1" applyFont="1" applyBorder="1" applyAlignment="1" applyProtection="1">
      <alignment horizontal="center"/>
      <protection locked="0"/>
    </xf>
    <xf numFmtId="0" fontId="2" fillId="0" borderId="35" xfId="0" applyFont="1" applyBorder="1" applyAlignment="1" applyProtection="1">
      <alignment horizontal="center"/>
      <protection locked="0"/>
    </xf>
    <xf numFmtId="0" fontId="1" fillId="0" borderId="14" xfId="0" applyFont="1" applyBorder="1" applyAlignment="1">
      <alignment horizontal="center"/>
    </xf>
    <xf numFmtId="0" fontId="12" fillId="0" borderId="35" xfId="0" applyFont="1" applyBorder="1" applyAlignment="1">
      <alignment horizontal="left"/>
    </xf>
    <xf numFmtId="1" fontId="15" fillId="0" borderId="30" xfId="0" applyNumberFormat="1" applyFont="1" applyBorder="1" applyAlignment="1">
      <alignment horizontal="center"/>
    </xf>
    <xf numFmtId="0" fontId="10" fillId="0" borderId="0" xfId="0" applyFont="1"/>
    <xf numFmtId="0" fontId="3" fillId="0" borderId="0" xfId="0" applyFont="1"/>
    <xf numFmtId="0" fontId="0" fillId="0" borderId="6" xfId="0" applyBorder="1"/>
    <xf numFmtId="1" fontId="7" fillId="0" borderId="6" xfId="0" applyNumberFormat="1" applyFont="1" applyBorder="1" applyAlignment="1">
      <alignment horizontal="center"/>
    </xf>
    <xf numFmtId="0" fontId="6" fillId="0" borderId="6" xfId="0" applyFont="1" applyBorder="1"/>
    <xf numFmtId="164" fontId="6" fillId="0" borderId="6" xfId="0" applyNumberFormat="1" applyFont="1" applyBorder="1"/>
    <xf numFmtId="164" fontId="5" fillId="0" borderId="0" xfId="0" applyNumberFormat="1" applyFont="1"/>
    <xf numFmtId="1" fontId="7" fillId="0" borderId="0" xfId="0" applyNumberFormat="1" applyFont="1" applyAlignment="1">
      <alignment horizontal="center"/>
    </xf>
    <xf numFmtId="168" fontId="5" fillId="0" borderId="60" xfId="0" applyNumberFormat="1" applyFont="1" applyBorder="1" applyAlignment="1">
      <alignment vertical="center"/>
    </xf>
    <xf numFmtId="164" fontId="5" fillId="0" borderId="25" xfId="0" applyNumberFormat="1" applyFont="1" applyBorder="1" applyAlignment="1">
      <alignment horizontal="center"/>
    </xf>
    <xf numFmtId="0" fontId="6" fillId="0" borderId="0" xfId="0" applyFont="1"/>
    <xf numFmtId="0" fontId="5" fillId="0" borderId="0" xfId="0" applyFont="1" applyAlignment="1">
      <alignment horizontal="left"/>
    </xf>
    <xf numFmtId="164" fontId="6" fillId="0" borderId="0" xfId="0" applyNumberFormat="1" applyFont="1"/>
    <xf numFmtId="164" fontId="11" fillId="0" borderId="0" xfId="0" applyNumberFormat="1" applyFont="1"/>
    <xf numFmtId="164" fontId="5" fillId="0" borderId="6" xfId="0" applyNumberFormat="1" applyFont="1" applyBorder="1" applyAlignment="1" applyProtection="1">
      <alignment horizontal="center" vertical="center"/>
      <protection locked="0"/>
    </xf>
    <xf numFmtId="164" fontId="5" fillId="0" borderId="6" xfId="0" applyNumberFormat="1" applyFont="1" applyBorder="1" applyAlignment="1" applyProtection="1">
      <alignment vertical="center"/>
      <protection locked="0"/>
    </xf>
    <xf numFmtId="164" fontId="5" fillId="0" borderId="0" xfId="0" applyNumberFormat="1" applyFont="1" applyAlignment="1" applyProtection="1">
      <alignment vertical="center"/>
      <protection locked="0"/>
    </xf>
    <xf numFmtId="164" fontId="11" fillId="0" borderId="6" xfId="0" applyNumberFormat="1" applyFont="1" applyBorder="1" applyAlignment="1">
      <alignment vertical="center"/>
    </xf>
    <xf numFmtId="164" fontId="5" fillId="0" borderId="6" xfId="0" applyNumberFormat="1" applyFont="1" applyBorder="1" applyAlignment="1">
      <alignment horizontal="center" vertical="center"/>
    </xf>
    <xf numFmtId="164" fontId="11" fillId="0" borderId="0" xfId="0" applyNumberFormat="1" applyFont="1" applyAlignment="1">
      <alignment vertical="center"/>
    </xf>
    <xf numFmtId="164" fontId="5" fillId="0" borderId="6" xfId="0" applyNumberFormat="1" applyFont="1" applyBorder="1" applyAlignment="1">
      <alignment vertical="center"/>
    </xf>
    <xf numFmtId="164" fontId="5" fillId="0" borderId="0" xfId="0" applyNumberFormat="1" applyFont="1" applyAlignment="1">
      <alignment horizontal="center"/>
    </xf>
    <xf numFmtId="0" fontId="10" fillId="0" borderId="0" xfId="0" applyFont="1" applyProtection="1">
      <protection locked="0"/>
    </xf>
    <xf numFmtId="0" fontId="0" fillId="0" borderId="0" xfId="0" applyProtection="1"/>
    <xf numFmtId="0" fontId="14" fillId="7" borderId="24" xfId="0" applyFont="1" applyFill="1" applyBorder="1" applyProtection="1">
      <protection locked="0"/>
    </xf>
    <xf numFmtId="0" fontId="14" fillId="7" borderId="12" xfId="0" applyFont="1" applyFill="1" applyBorder="1" applyProtection="1">
      <protection locked="0"/>
    </xf>
    <xf numFmtId="0" fontId="14" fillId="7" borderId="14" xfId="0" applyFont="1" applyFill="1" applyBorder="1" applyProtection="1">
      <protection locked="0"/>
    </xf>
    <xf numFmtId="1" fontId="5" fillId="0" borderId="1" xfId="0" quotePrefix="1" applyNumberFormat="1" applyFont="1" applyBorder="1" applyAlignment="1" applyProtection="1">
      <alignment horizontal="center"/>
      <protection locked="0"/>
    </xf>
    <xf numFmtId="165" fontId="5" fillId="0" borderId="60" xfId="0" applyNumberFormat="1" applyFont="1" applyBorder="1" applyAlignment="1">
      <alignment horizontal="center" vertical="center"/>
    </xf>
    <xf numFmtId="164" fontId="5" fillId="0" borderId="60" xfId="0" applyNumberFormat="1" applyFont="1" applyBorder="1" applyAlignment="1">
      <alignment horizontal="center" vertical="center"/>
    </xf>
    <xf numFmtId="1" fontId="15" fillId="0" borderId="64" xfId="0" applyNumberFormat="1" applyFont="1" applyBorder="1" applyAlignment="1">
      <alignment horizontal="center" vertical="center"/>
    </xf>
    <xf numFmtId="167" fontId="5" fillId="0" borderId="10" xfId="0" applyNumberFormat="1" applyFont="1" applyBorder="1" applyAlignment="1">
      <alignment horizontal="center" vertical="center"/>
    </xf>
    <xf numFmtId="164" fontId="11" fillId="0" borderId="11" xfId="0" applyNumberFormat="1" applyFont="1" applyBorder="1" applyAlignment="1">
      <alignment horizontal="center" vertical="center"/>
    </xf>
    <xf numFmtId="168" fontId="11" fillId="0" borderId="17" xfId="0" applyNumberFormat="1" applyFont="1" applyBorder="1" applyAlignment="1">
      <alignment horizontal="center" vertical="center"/>
    </xf>
    <xf numFmtId="167" fontId="11" fillId="0" borderId="60" xfId="0" applyNumberFormat="1" applyFont="1" applyBorder="1" applyAlignment="1">
      <alignment horizontal="center" vertical="center"/>
    </xf>
    <xf numFmtId="167" fontId="11" fillId="0" borderId="32" xfId="0" applyNumberFormat="1" applyFont="1" applyBorder="1"/>
    <xf numFmtId="168" fontId="15" fillId="0" borderId="60" xfId="0" applyNumberFormat="1" applyFont="1" applyBorder="1"/>
    <xf numFmtId="0" fontId="5" fillId="6" borderId="7" xfId="0" applyFont="1" applyFill="1" applyBorder="1" applyAlignment="1" applyProtection="1">
      <alignment horizontal="centerContinuous"/>
    </xf>
    <xf numFmtId="0" fontId="5" fillId="6" borderId="7" xfId="0" applyFont="1" applyFill="1" applyBorder="1" applyAlignment="1" applyProtection="1">
      <alignment horizontal="centerContinuous" vertical="center"/>
    </xf>
    <xf numFmtId="0" fontId="14" fillId="7" borderId="23" xfId="0" applyFont="1" applyFill="1" applyBorder="1" applyProtection="1">
      <protection locked="0"/>
    </xf>
    <xf numFmtId="0" fontId="14" fillId="7" borderId="4" xfId="0" applyFont="1" applyFill="1" applyBorder="1" applyProtection="1">
      <protection locked="0"/>
    </xf>
    <xf numFmtId="0" fontId="14" fillId="7" borderId="70" xfId="0" applyFont="1" applyFill="1" applyBorder="1" applyProtection="1">
      <protection locked="0"/>
    </xf>
    <xf numFmtId="1" fontId="14" fillId="7" borderId="24" xfId="0" applyNumberFormat="1" applyFont="1" applyFill="1" applyBorder="1" applyAlignment="1" applyProtection="1">
      <alignment horizontal="center" vertical="center"/>
      <protection locked="0"/>
    </xf>
    <xf numFmtId="1" fontId="14" fillId="7" borderId="12" xfId="0" applyNumberFormat="1" applyFont="1" applyFill="1" applyBorder="1" applyAlignment="1" applyProtection="1">
      <alignment horizontal="center" vertical="center"/>
      <protection locked="0"/>
    </xf>
    <xf numFmtId="1" fontId="14" fillId="7" borderId="14" xfId="0" applyNumberFormat="1" applyFont="1" applyFill="1" applyBorder="1" applyAlignment="1" applyProtection="1">
      <alignment horizontal="center" vertical="center"/>
      <protection locked="0"/>
    </xf>
    <xf numFmtId="0" fontId="6" fillId="6" borderId="6" xfId="0" applyFont="1" applyFill="1" applyBorder="1" applyAlignment="1" applyProtection="1">
      <alignment horizontal="centerContinuous"/>
    </xf>
    <xf numFmtId="0" fontId="14" fillId="7" borderId="8" xfId="0" applyFont="1" applyFill="1" applyBorder="1" applyProtection="1">
      <protection locked="0"/>
    </xf>
    <xf numFmtId="0" fontId="0" fillId="7" borderId="1" xfId="0" applyFill="1" applyBorder="1" applyProtection="1">
      <protection locked="0"/>
    </xf>
    <xf numFmtId="0" fontId="3" fillId="7" borderId="1" xfId="0" applyFont="1" applyFill="1" applyBorder="1" applyProtection="1">
      <protection locked="0"/>
    </xf>
    <xf numFmtId="16" fontId="0" fillId="7" borderId="1" xfId="0" applyNumberFormat="1" applyFill="1" applyBorder="1" applyProtection="1">
      <protection locked="0"/>
    </xf>
    <xf numFmtId="0" fontId="5" fillId="6" borderId="25" xfId="0" applyFont="1" applyFill="1" applyBorder="1" applyAlignment="1" applyProtection="1">
      <alignment horizontal="centerContinuous" vertical="center"/>
    </xf>
    <xf numFmtId="169" fontId="21" fillId="6" borderId="19" xfId="0" applyNumberFormat="1" applyFont="1" applyFill="1" applyBorder="1" applyAlignment="1" applyProtection="1">
      <alignment horizontal="centerContinuous" vertical="center"/>
    </xf>
    <xf numFmtId="169" fontId="3" fillId="6" borderId="11" xfId="0" applyNumberFormat="1" applyFont="1" applyFill="1" applyBorder="1" applyAlignment="1" applyProtection="1">
      <alignment horizontal="centerContinuous" vertical="center"/>
    </xf>
    <xf numFmtId="169" fontId="1" fillId="6" borderId="10" xfId="0" applyNumberFormat="1" applyFont="1" applyFill="1" applyBorder="1" applyAlignment="1" applyProtection="1">
      <alignment horizontal="centerContinuous" vertical="center"/>
    </xf>
    <xf numFmtId="169" fontId="1" fillId="6" borderId="11" xfId="0" applyNumberFormat="1" applyFont="1" applyFill="1" applyBorder="1" applyAlignment="1" applyProtection="1">
      <alignment horizontal="centerContinuous" vertical="center"/>
    </xf>
    <xf numFmtId="16" fontId="3" fillId="7" borderId="1" xfId="0" applyNumberFormat="1" applyFont="1" applyFill="1" applyBorder="1" applyProtection="1">
      <protection locked="0"/>
    </xf>
    <xf numFmtId="0" fontId="5" fillId="6" borderId="25" xfId="0" applyFont="1" applyFill="1" applyBorder="1" applyAlignment="1" applyProtection="1">
      <alignment horizontal="centerContinuous"/>
    </xf>
    <xf numFmtId="0" fontId="0" fillId="0" borderId="0" xfId="0" applyBorder="1" applyAlignment="1">
      <alignment horizontal="center"/>
    </xf>
    <xf numFmtId="0" fontId="0" fillId="0" borderId="0" xfId="0" applyFill="1" applyBorder="1" applyProtection="1">
      <protection locked="0"/>
    </xf>
    <xf numFmtId="0" fontId="3" fillId="0" borderId="0" xfId="0" applyFont="1" applyFill="1" applyBorder="1" applyProtection="1">
      <protection locked="0"/>
    </xf>
    <xf numFmtId="16" fontId="3" fillId="0" borderId="0" xfId="0" applyNumberFormat="1" applyFont="1" applyFill="1" applyBorder="1" applyProtection="1">
      <protection locked="0"/>
    </xf>
    <xf numFmtId="0" fontId="0" fillId="0" borderId="4" xfId="0" applyBorder="1"/>
    <xf numFmtId="0" fontId="0" fillId="7" borderId="36" xfId="0" applyFill="1" applyBorder="1" applyProtection="1">
      <protection locked="0"/>
    </xf>
    <xf numFmtId="0" fontId="0" fillId="0" borderId="12" xfId="0" applyBorder="1"/>
    <xf numFmtId="0" fontId="0" fillId="0" borderId="8" xfId="0" applyBorder="1"/>
    <xf numFmtId="0" fontId="0" fillId="7" borderId="35" xfId="0" applyFill="1" applyBorder="1" applyProtection="1">
      <protection locked="0"/>
    </xf>
    <xf numFmtId="0" fontId="3" fillId="7" borderId="35" xfId="0" applyFont="1" applyFill="1" applyBorder="1" applyProtection="1">
      <protection locked="0"/>
    </xf>
    <xf numFmtId="0" fontId="3" fillId="0" borderId="0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167" fontId="0" fillId="0" borderId="71" xfId="0" applyNumberFormat="1" applyFill="1" applyBorder="1" applyAlignment="1" applyProtection="1">
      <alignment horizontal="left" vertical="center"/>
    </xf>
    <xf numFmtId="167" fontId="0" fillId="0" borderId="13" xfId="0" applyNumberFormat="1" applyFill="1" applyBorder="1" applyAlignment="1" applyProtection="1">
      <alignment horizontal="left" vertical="center"/>
    </xf>
    <xf numFmtId="167" fontId="0" fillId="0" borderId="20" xfId="0" applyNumberFormat="1" applyFill="1" applyBorder="1" applyAlignment="1" applyProtection="1">
      <alignment horizontal="left" vertical="center"/>
    </xf>
    <xf numFmtId="0" fontId="1" fillId="6" borderId="19" xfId="0" applyFont="1" applyFill="1" applyBorder="1" applyAlignment="1" applyProtection="1">
      <alignment horizontal="centerContinuous"/>
    </xf>
    <xf numFmtId="0" fontId="1" fillId="6" borderId="11" xfId="0" applyFont="1" applyFill="1" applyBorder="1" applyAlignment="1" applyProtection="1">
      <alignment horizontal="centerContinuous"/>
    </xf>
    <xf numFmtId="0" fontId="2" fillId="6" borderId="10" xfId="0" applyFont="1" applyFill="1" applyBorder="1" applyAlignment="1" applyProtection="1">
      <alignment horizontal="centerContinuous"/>
    </xf>
    <xf numFmtId="0" fontId="1" fillId="6" borderId="19" xfId="0" applyFont="1" applyFill="1" applyBorder="1" applyAlignment="1" applyProtection="1">
      <alignment horizontal="centerContinuous" vertical="center"/>
    </xf>
    <xf numFmtId="0" fontId="1" fillId="6" borderId="11" xfId="0" applyFont="1" applyFill="1" applyBorder="1" applyAlignment="1" applyProtection="1">
      <alignment horizontal="centerContinuous" vertical="center"/>
    </xf>
    <xf numFmtId="0" fontId="2" fillId="7" borderId="1" xfId="0" applyFont="1" applyFill="1" applyBorder="1" applyProtection="1">
      <protection locked="0"/>
    </xf>
    <xf numFmtId="170" fontId="2" fillId="0" borderId="1" xfId="0" applyNumberFormat="1" applyFont="1" applyBorder="1" applyAlignment="1">
      <alignment horizontal="right"/>
    </xf>
    <xf numFmtId="170" fontId="2" fillId="0" borderId="27" xfId="0" applyNumberFormat="1" applyFont="1" applyBorder="1" applyAlignment="1">
      <alignment horizontal="right"/>
    </xf>
    <xf numFmtId="170" fontId="2" fillId="0" borderId="13" xfId="0" applyNumberFormat="1" applyFont="1" applyBorder="1" applyAlignment="1">
      <alignment horizontal="right"/>
    </xf>
    <xf numFmtId="170" fontId="2" fillId="0" borderId="20" xfId="0" applyNumberFormat="1" applyFont="1" applyBorder="1" applyAlignment="1">
      <alignment horizontal="right"/>
    </xf>
    <xf numFmtId="170" fontId="2" fillId="0" borderId="2" xfId="0" applyNumberFormat="1" applyFont="1" applyBorder="1" applyAlignment="1">
      <alignment horizontal="right"/>
    </xf>
    <xf numFmtId="171" fontId="7" fillId="0" borderId="36" xfId="0" applyNumberFormat="1" applyFont="1" applyBorder="1" applyAlignment="1">
      <alignment horizontal="center"/>
    </xf>
    <xf numFmtId="171" fontId="7" fillId="0" borderId="1" xfId="0" applyNumberFormat="1" applyFont="1" applyBorder="1" applyAlignment="1">
      <alignment horizontal="center"/>
    </xf>
    <xf numFmtId="0" fontId="15" fillId="0" borderId="16" xfId="0" applyNumberFormat="1" applyFont="1" applyBorder="1" applyAlignment="1" applyProtection="1">
      <alignment horizontal="center" vertical="center"/>
      <protection locked="0"/>
    </xf>
    <xf numFmtId="0" fontId="15" fillId="0" borderId="3" xfId="0" applyNumberFormat="1" applyFont="1" applyBorder="1" applyAlignment="1" applyProtection="1">
      <alignment horizontal="center" vertical="center"/>
      <protection locked="0"/>
    </xf>
    <xf numFmtId="0" fontId="15" fillId="0" borderId="58" xfId="0" applyNumberFormat="1" applyFont="1" applyBorder="1" applyAlignment="1" applyProtection="1">
      <alignment horizontal="center" vertical="center"/>
      <protection locked="0"/>
    </xf>
    <xf numFmtId="0" fontId="15" fillId="0" borderId="21" xfId="0" applyNumberFormat="1" applyFont="1" applyBorder="1" applyAlignment="1" applyProtection="1">
      <alignment horizontal="center" vertical="center"/>
      <protection locked="0"/>
    </xf>
    <xf numFmtId="171" fontId="7" fillId="0" borderId="6" xfId="0" applyNumberFormat="1" applyFont="1" applyBorder="1" applyAlignment="1">
      <alignment horizontal="center" vertical="center"/>
    </xf>
    <xf numFmtId="171" fontId="7" fillId="0" borderId="1" xfId="0" applyNumberFormat="1" applyFont="1" applyBorder="1" applyAlignment="1">
      <alignment horizontal="center" vertical="center"/>
    </xf>
    <xf numFmtId="171" fontId="7" fillId="0" borderId="44" xfId="0" applyNumberFormat="1" applyFont="1" applyBorder="1" applyAlignment="1">
      <alignment horizontal="center" vertical="center"/>
    </xf>
    <xf numFmtId="171" fontId="7" fillId="0" borderId="25" xfId="0" applyNumberFormat="1" applyFont="1" applyBorder="1" applyAlignment="1">
      <alignment horizontal="center" vertical="center"/>
    </xf>
    <xf numFmtId="171" fontId="7" fillId="0" borderId="12" xfId="0" applyNumberFormat="1" applyFont="1" applyBorder="1" applyAlignment="1">
      <alignment horizontal="center" vertical="center"/>
    </xf>
    <xf numFmtId="171" fontId="7" fillId="0" borderId="8" xfId="0" applyNumberFormat="1" applyFont="1" applyBorder="1" applyAlignment="1">
      <alignment horizontal="center" vertical="center"/>
    </xf>
    <xf numFmtId="172" fontId="2" fillId="0" borderId="1" xfId="0" applyNumberFormat="1" applyFont="1" applyBorder="1" applyAlignment="1">
      <alignment horizontal="right"/>
    </xf>
    <xf numFmtId="171" fontId="13" fillId="0" borderId="36" xfId="0" applyNumberFormat="1" applyFont="1" applyBorder="1" applyAlignment="1">
      <alignment horizontal="center"/>
    </xf>
    <xf numFmtId="171" fontId="13" fillId="0" borderId="1" xfId="0" applyNumberFormat="1" applyFont="1" applyBorder="1" applyAlignment="1">
      <alignment horizontal="center"/>
    </xf>
    <xf numFmtId="171" fontId="3" fillId="0" borderId="1" xfId="0" applyNumberFormat="1" applyFont="1" applyBorder="1" applyAlignment="1">
      <alignment horizontal="center"/>
    </xf>
    <xf numFmtId="171" fontId="13" fillId="0" borderId="35" xfId="0" applyNumberFormat="1" applyFont="1" applyBorder="1" applyAlignment="1">
      <alignment horizontal="center"/>
    </xf>
    <xf numFmtId="172" fontId="1" fillId="0" borderId="27" xfId="0" applyNumberFormat="1" applyFont="1" applyBorder="1"/>
    <xf numFmtId="172" fontId="1" fillId="0" borderId="22" xfId="0" applyNumberFormat="1" applyFont="1" applyBorder="1"/>
    <xf numFmtId="172" fontId="1" fillId="0" borderId="26" xfId="0" applyNumberFormat="1" applyFont="1" applyBorder="1"/>
    <xf numFmtId="172" fontId="1" fillId="0" borderId="59" xfId="0" applyNumberFormat="1" applyFont="1" applyBorder="1"/>
    <xf numFmtId="172" fontId="3" fillId="0" borderId="27" xfId="0" applyNumberFormat="1" applyFont="1" applyBorder="1" applyProtection="1">
      <protection locked="0"/>
    </xf>
    <xf numFmtId="172" fontId="3" fillId="0" borderId="1" xfId="0" applyNumberFormat="1" applyFont="1" applyBorder="1" applyAlignment="1" applyProtection="1">
      <alignment horizontal="right"/>
      <protection locked="0"/>
    </xf>
    <xf numFmtId="172" fontId="3" fillId="0" borderId="44" xfId="0" applyNumberFormat="1" applyFont="1" applyBorder="1" applyAlignment="1" applyProtection="1">
      <alignment horizontal="right"/>
      <protection locked="0"/>
    </xf>
    <xf numFmtId="172" fontId="3" fillId="0" borderId="35" xfId="0" applyNumberFormat="1" applyFont="1" applyBorder="1" applyAlignment="1" applyProtection="1">
      <alignment horizontal="right"/>
      <protection locked="0"/>
    </xf>
    <xf numFmtId="171" fontId="5" fillId="0" borderId="36" xfId="0" applyNumberFormat="1" applyFont="1" applyBorder="1" applyAlignment="1" applyProtection="1">
      <alignment horizontal="center"/>
    </xf>
    <xf numFmtId="171" fontId="5" fillId="0" borderId="1" xfId="0" applyNumberFormat="1" applyFont="1" applyBorder="1" applyAlignment="1" applyProtection="1">
      <alignment horizontal="center"/>
    </xf>
    <xf numFmtId="171" fontId="5" fillId="0" borderId="35" xfId="0" applyNumberFormat="1" applyFont="1" applyBorder="1" applyAlignment="1" applyProtection="1">
      <alignment horizontal="center"/>
    </xf>
    <xf numFmtId="0" fontId="0" fillId="0" borderId="0" xfId="0" applyProtection="1">
      <protection hidden="1"/>
    </xf>
    <xf numFmtId="0" fontId="3" fillId="8" borderId="0" xfId="0" applyFont="1" applyFill="1" applyProtection="1">
      <protection locked="0"/>
    </xf>
    <xf numFmtId="0" fontId="3" fillId="7" borderId="36" xfId="0" applyFont="1" applyFill="1" applyBorder="1" applyProtection="1">
      <protection locked="0"/>
    </xf>
    <xf numFmtId="168" fontId="5" fillId="0" borderId="45" xfId="0" applyNumberFormat="1" applyFont="1" applyBorder="1" applyAlignment="1">
      <alignment horizontal="center" vertical="center"/>
    </xf>
    <xf numFmtId="168" fontId="5" fillId="0" borderId="60" xfId="0" applyNumberFormat="1" applyFont="1" applyBorder="1" applyAlignment="1">
      <alignment horizontal="center" vertical="center"/>
    </xf>
    <xf numFmtId="167" fontId="5" fillId="0" borderId="60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164" fontId="11" fillId="0" borderId="18" xfId="0" applyNumberFormat="1" applyFont="1" applyBorder="1" applyAlignment="1">
      <alignment horizontal="center" vertical="center"/>
    </xf>
    <xf numFmtId="164" fontId="11" fillId="0" borderId="15" xfId="0" applyNumberFormat="1" applyFont="1" applyBorder="1" applyAlignment="1">
      <alignment horizontal="center" vertical="center"/>
    </xf>
    <xf numFmtId="167" fontId="5" fillId="0" borderId="33" xfId="0" applyNumberFormat="1" applyFont="1" applyBorder="1" applyAlignment="1">
      <alignment horizontal="center" vertical="center"/>
    </xf>
    <xf numFmtId="167" fontId="5" fillId="0" borderId="32" xfId="0" applyNumberFormat="1" applyFont="1" applyBorder="1" applyAlignment="1">
      <alignment horizontal="center" vertical="center"/>
    </xf>
    <xf numFmtId="164" fontId="5" fillId="0" borderId="28" xfId="0" applyNumberFormat="1" applyFont="1" applyBorder="1" applyAlignment="1">
      <alignment horizontal="center" vertical="center"/>
    </xf>
    <xf numFmtId="164" fontId="5" fillId="0" borderId="45" xfId="0" applyNumberFormat="1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/>
    </xf>
    <xf numFmtId="0" fontId="6" fillId="0" borderId="33" xfId="0" applyFon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3" xfId="0" applyBorder="1" applyAlignment="1">
      <alignment horizontal="center"/>
    </xf>
    <xf numFmtId="1" fontId="15" fillId="0" borderId="29" xfId="0" applyNumberFormat="1" applyFont="1" applyBorder="1" applyAlignment="1">
      <alignment horizontal="center" vertical="center"/>
    </xf>
    <xf numFmtId="1" fontId="15" fillId="0" borderId="32" xfId="0" applyNumberFormat="1" applyFont="1" applyBorder="1" applyAlignment="1">
      <alignment horizontal="center" vertical="center"/>
    </xf>
    <xf numFmtId="164" fontId="5" fillId="0" borderId="25" xfId="0" applyNumberFormat="1" applyFont="1" applyBorder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166" fontId="16" fillId="0" borderId="0" xfId="0" applyNumberFormat="1" applyFont="1" applyAlignment="1" applyProtection="1">
      <alignment horizontal="center"/>
      <protection locked="0"/>
    </xf>
    <xf numFmtId="166" fontId="16" fillId="0" borderId="0" xfId="0" applyNumberFormat="1" applyFont="1" applyAlignment="1">
      <alignment horizontal="center"/>
    </xf>
    <xf numFmtId="0" fontId="1" fillId="5" borderId="5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1" fillId="5" borderId="10" xfId="0" applyFont="1" applyFill="1" applyBorder="1" applyAlignment="1">
      <alignment horizontal="center" vertical="center"/>
    </xf>
    <xf numFmtId="0" fontId="1" fillId="5" borderId="11" xfId="0" applyFont="1" applyFill="1" applyBorder="1" applyAlignment="1">
      <alignment horizontal="center" vertical="center"/>
    </xf>
    <xf numFmtId="0" fontId="1" fillId="0" borderId="41" xfId="0" applyFont="1" applyBorder="1" applyAlignment="1">
      <alignment horizontal="center" vertical="center"/>
    </xf>
    <xf numFmtId="0" fontId="1" fillId="0" borderId="66" xfId="0" applyFont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 wrapText="1"/>
    </xf>
    <xf numFmtId="0" fontId="1" fillId="5" borderId="6" xfId="0" applyFont="1" applyFill="1" applyBorder="1" applyAlignment="1">
      <alignment horizontal="center" vertical="center" wrapText="1"/>
    </xf>
    <xf numFmtId="0" fontId="1" fillId="5" borderId="34" xfId="0" applyFont="1" applyFill="1" applyBorder="1" applyAlignment="1">
      <alignment horizontal="center" vertical="center" wrapText="1"/>
    </xf>
    <xf numFmtId="0" fontId="1" fillId="5" borderId="10" xfId="0" applyFont="1" applyFill="1" applyBorder="1" applyAlignment="1">
      <alignment horizontal="center" vertical="center" wrapText="1"/>
    </xf>
    <xf numFmtId="0" fontId="1" fillId="0" borderId="6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5" borderId="25" xfId="0" applyFont="1" applyFill="1" applyBorder="1" applyAlignment="1">
      <alignment horizontal="center" vertical="center"/>
    </xf>
    <xf numFmtId="0" fontId="1" fillId="5" borderId="19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6" fillId="0" borderId="0" xfId="0" applyFont="1" applyAlignment="1" applyProtection="1">
      <alignment horizontal="center"/>
      <protection locked="0"/>
    </xf>
    <xf numFmtId="0" fontId="7" fillId="0" borderId="41" xfId="0" applyFont="1" applyBorder="1" applyAlignment="1">
      <alignment horizontal="center" vertical="center"/>
    </xf>
    <xf numFmtId="0" fontId="7" fillId="0" borderId="66" xfId="0" applyFont="1" applyBorder="1" applyAlignment="1">
      <alignment horizontal="center" vertical="center"/>
    </xf>
    <xf numFmtId="0" fontId="7" fillId="0" borderId="67" xfId="0" applyFont="1" applyBorder="1" applyAlignment="1">
      <alignment horizontal="center" vertical="center"/>
    </xf>
    <xf numFmtId="0" fontId="5" fillId="4" borderId="68" xfId="0" applyFont="1" applyFill="1" applyBorder="1" applyAlignment="1">
      <alignment horizontal="center" vertical="center"/>
    </xf>
    <xf numFmtId="0" fontId="5" fillId="4" borderId="50" xfId="0" applyFont="1" applyFill="1" applyBorder="1" applyAlignment="1">
      <alignment horizontal="center" vertical="center"/>
    </xf>
    <xf numFmtId="0" fontId="5" fillId="4" borderId="51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65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5" fillId="4" borderId="4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" fillId="0" borderId="0" xfId="0" applyFont="1" applyAlignment="1">
      <alignment horizontal="right"/>
    </xf>
  </cellXfs>
  <cellStyles count="1">
    <cellStyle name="Normal" xfId="0" builtinId="0"/>
  </cellStyles>
  <dxfs count="6">
    <dxf>
      <font>
        <color theme="0"/>
      </font>
    </dxf>
    <dxf>
      <font>
        <color rgb="FFFFFF99"/>
      </font>
    </dxf>
    <dxf>
      <font>
        <color theme="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</dxf>
  </dxfs>
  <tableStyles count="0" defaultTableStyle="TableStyleMedium9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38100</xdr:rowOff>
        </xdr:from>
        <xdr:to>
          <xdr:col>9</xdr:col>
          <xdr:colOff>314325</xdr:colOff>
          <xdr:row>0</xdr:row>
          <xdr:rowOff>314325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Crew Bond</a:t>
              </a:r>
            </a:p>
            <a:p>
              <a:pPr algn="ctr" rtl="0">
                <a:defRPr sz="1000"/>
              </a:pPr>
              <a:endParaRPr lang="ru-RU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0</xdr:row>
          <xdr:rowOff>47625</xdr:rowOff>
        </xdr:from>
        <xdr:to>
          <xdr:col>12</xdr:col>
          <xdr:colOff>171450</xdr:colOff>
          <xdr:row>0</xdr:row>
          <xdr:rowOff>333375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unused rows</a:t>
              </a:r>
            </a:p>
            <a:p>
              <a:pPr algn="ctr" rtl="0">
                <a:defRPr sz="1000"/>
              </a:pPr>
              <a:endParaRPr lang="ru-RU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438150</xdr:colOff>
          <xdr:row>0</xdr:row>
          <xdr:rowOff>371475</xdr:rowOff>
        </xdr:from>
        <xdr:to>
          <xdr:col>12</xdr:col>
          <xdr:colOff>171450</xdr:colOff>
          <xdr:row>2</xdr:row>
          <xdr:rowOff>57150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Unhide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238125</xdr:colOff>
          <xdr:row>0</xdr:row>
          <xdr:rowOff>28575</xdr:rowOff>
        </xdr:from>
        <xdr:to>
          <xdr:col>17</xdr:col>
          <xdr:colOff>133350</xdr:colOff>
          <xdr:row>0</xdr:row>
          <xdr:rowOff>314325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Unused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219075</xdr:colOff>
          <xdr:row>0</xdr:row>
          <xdr:rowOff>381000</xdr:rowOff>
        </xdr:from>
        <xdr:to>
          <xdr:col>17</xdr:col>
          <xdr:colOff>133350</xdr:colOff>
          <xdr:row>2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Unhide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619125</xdr:colOff>
          <xdr:row>1</xdr:row>
          <xdr:rowOff>19050</xdr:rowOff>
        </xdr:from>
        <xdr:to>
          <xdr:col>59</xdr:col>
          <xdr:colOff>114300</xdr:colOff>
          <xdr:row>2</xdr:row>
          <xdr:rowOff>95250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Unused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609600</xdr:colOff>
          <xdr:row>2</xdr:row>
          <xdr:rowOff>104775</xdr:rowOff>
        </xdr:from>
        <xdr:to>
          <xdr:col>59</xdr:col>
          <xdr:colOff>114300</xdr:colOff>
          <xdr:row>4</xdr:row>
          <xdr:rowOff>133350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Unhide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638175</xdr:colOff>
          <xdr:row>0</xdr:row>
          <xdr:rowOff>95250</xdr:rowOff>
        </xdr:from>
        <xdr:to>
          <xdr:col>57</xdr:col>
          <xdr:colOff>657225</xdr:colOff>
          <xdr:row>0</xdr:row>
          <xdr:rowOff>371475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Repres.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1</xdr:row>
          <xdr:rowOff>85725</xdr:rowOff>
        </xdr:from>
        <xdr:to>
          <xdr:col>1</xdr:col>
          <xdr:colOff>1295400</xdr:colOff>
          <xdr:row>2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New Month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  <pageSetUpPr fitToPage="1"/>
  </sheetPr>
  <dimension ref="A1:CN64"/>
  <sheetViews>
    <sheetView tabSelected="1" zoomScaleNormal="100" zoomScaleSheetLayoutView="90" workbookViewId="0">
      <pane xSplit="6" ySplit="8" topLeftCell="G9" activePane="bottomRight" state="frozenSplit"/>
      <selection pane="topRight" activeCell="W1" sqref="W1"/>
      <selection pane="bottomLeft" activeCell="A9" sqref="A9"/>
      <selection pane="bottomRight" activeCell="E13" sqref="E13"/>
    </sheetView>
  </sheetViews>
  <sheetFormatPr defaultColWidth="0" defaultRowHeight="12.75" zeroHeight="1" x14ac:dyDescent="0.2"/>
  <cols>
    <col min="1" max="1" width="4.28515625" customWidth="1"/>
    <col min="2" max="2" width="42.28515625" customWidth="1"/>
    <col min="3" max="4" width="5.7109375" customWidth="1"/>
    <col min="5" max="5" width="8.5703125" customWidth="1"/>
    <col min="6" max="6" width="13.85546875" customWidth="1"/>
    <col min="7" max="7" width="3.7109375" customWidth="1"/>
    <col min="8" max="8" width="8.28515625" customWidth="1"/>
    <col min="9" max="9" width="3.7109375" customWidth="1"/>
    <col min="10" max="10" width="8.28515625" customWidth="1"/>
    <col min="11" max="11" width="3.7109375" customWidth="1"/>
    <col min="12" max="12" width="8.28515625" customWidth="1"/>
    <col min="13" max="13" width="3.7109375" customWidth="1"/>
    <col min="14" max="14" width="8.28515625" customWidth="1"/>
    <col min="15" max="15" width="3.7109375" customWidth="1"/>
    <col min="16" max="16" width="8.28515625" customWidth="1"/>
    <col min="17" max="17" width="3.7109375" customWidth="1"/>
    <col min="18" max="18" width="9" customWidth="1"/>
    <col min="19" max="19" width="3.7109375" customWidth="1"/>
    <col min="20" max="20" width="8.28515625" customWidth="1"/>
    <col min="21" max="21" width="3.7109375" customWidth="1"/>
    <col min="22" max="22" width="8.28515625" customWidth="1"/>
    <col min="23" max="23" width="3.7109375" customWidth="1"/>
    <col min="24" max="24" width="8.28515625" customWidth="1"/>
    <col min="25" max="25" width="3.7109375" customWidth="1"/>
    <col min="26" max="26" width="8.28515625" customWidth="1"/>
    <col min="27" max="27" width="3.7109375" customWidth="1"/>
    <col min="28" max="28" width="8.28515625" customWidth="1"/>
    <col min="29" max="29" width="3.7109375" customWidth="1"/>
    <col min="30" max="30" width="8.28515625" customWidth="1"/>
    <col min="31" max="31" width="3.7109375" customWidth="1"/>
    <col min="32" max="32" width="8.28515625" customWidth="1"/>
    <col min="33" max="33" width="3.7109375" customWidth="1"/>
    <col min="34" max="34" width="8.28515625" customWidth="1"/>
    <col min="35" max="35" width="3.7109375" hidden="1" customWidth="1"/>
    <col min="36" max="36" width="8.28515625" hidden="1" customWidth="1"/>
    <col min="37" max="37" width="3.7109375" hidden="1" customWidth="1"/>
    <col min="38" max="38" width="8.28515625" hidden="1" customWidth="1"/>
    <col min="39" max="39" width="3.7109375" hidden="1" customWidth="1"/>
    <col min="40" max="40" width="8.28515625" hidden="1" customWidth="1"/>
    <col min="41" max="41" width="3.7109375" hidden="1" customWidth="1"/>
    <col min="42" max="42" width="8.28515625" hidden="1" customWidth="1"/>
    <col min="43" max="43" width="3.7109375" hidden="1" customWidth="1"/>
    <col min="44" max="44" width="8.28515625" hidden="1" customWidth="1"/>
    <col min="45" max="45" width="3.7109375" hidden="1" customWidth="1"/>
    <col min="46" max="46" width="8.28515625" hidden="1" customWidth="1"/>
    <col min="47" max="47" width="3.7109375" hidden="1" customWidth="1"/>
    <col min="48" max="48" width="8.28515625" hidden="1" customWidth="1"/>
    <col min="49" max="49" width="3.7109375" hidden="1" customWidth="1"/>
    <col min="50" max="50" width="8.140625" hidden="1" customWidth="1"/>
    <col min="51" max="51" width="4.28515625" customWidth="1"/>
    <col min="52" max="52" width="5.7109375" customWidth="1"/>
    <col min="53" max="53" width="11" customWidth="1"/>
    <col min="54" max="54" width="4.28515625" customWidth="1"/>
    <col min="55" max="55" width="5.7109375" customWidth="1"/>
    <col min="56" max="56" width="12.28515625" customWidth="1"/>
    <col min="57" max="57" width="3.7109375" customWidth="1"/>
    <col min="58" max="58" width="10" customWidth="1"/>
    <col min="59" max="59" width="3.7109375" customWidth="1"/>
    <col min="60" max="60" width="10" customWidth="1"/>
    <col min="61" max="61" width="3.7109375" hidden="1" customWidth="1"/>
    <col min="62" max="62" width="10" hidden="1" customWidth="1"/>
    <col min="63" max="63" width="3.7109375" hidden="1" customWidth="1"/>
    <col min="64" max="64" width="10" hidden="1" customWidth="1"/>
    <col min="65" max="65" width="3.7109375" hidden="1" customWidth="1"/>
    <col min="66" max="66" width="10" hidden="1" customWidth="1"/>
    <col min="67" max="67" width="3.7109375" hidden="1" customWidth="1"/>
    <col min="68" max="68" width="10" hidden="1" customWidth="1"/>
    <col min="69" max="69" width="3.7109375" hidden="1" customWidth="1"/>
    <col min="70" max="70" width="10" hidden="1" customWidth="1"/>
    <col min="71" max="71" width="3.7109375" hidden="1" customWidth="1"/>
    <col min="72" max="72" width="10" hidden="1" customWidth="1"/>
    <col min="73" max="73" width="3.7109375" hidden="1" customWidth="1"/>
    <col min="74" max="74" width="10" hidden="1" customWidth="1"/>
    <col min="75" max="75" width="3.7109375" hidden="1" customWidth="1"/>
    <col min="76" max="76" width="10" hidden="1" customWidth="1"/>
    <col min="77" max="77" width="3.7109375" hidden="1" customWidth="1"/>
    <col min="78" max="78" width="10" hidden="1" customWidth="1"/>
    <col min="79" max="79" width="4.140625" customWidth="1"/>
    <col min="80" max="80" width="5.7109375" customWidth="1"/>
    <col min="81" max="81" width="10.140625" customWidth="1"/>
    <col min="82" max="82" width="3.5703125" customWidth="1"/>
    <col min="83" max="83" width="37.5703125" customWidth="1"/>
    <col min="84" max="84" width="6.28515625" customWidth="1"/>
    <col min="85" max="85" width="5.7109375" customWidth="1"/>
    <col min="86" max="86" width="8.5703125" customWidth="1"/>
    <col min="87" max="87" width="13.28515625" customWidth="1"/>
    <col min="88" max="88" width="11" style="36" customWidth="1"/>
    <col min="89" max="92" width="0" hidden="1" customWidth="1"/>
    <col min="93" max="16384" width="9.140625" hidden="1"/>
  </cols>
  <sheetData>
    <row r="1" spans="1:88" ht="30" customHeight="1" x14ac:dyDescent="0.4">
      <c r="A1" s="11"/>
      <c r="B1" s="205" t="s">
        <v>13</v>
      </c>
      <c r="C1" s="205"/>
      <c r="D1" s="205"/>
      <c r="E1" s="205"/>
      <c r="F1" s="205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CE1" s="205" t="s">
        <v>13</v>
      </c>
      <c r="CF1" s="205"/>
      <c r="CG1" s="205"/>
      <c r="CH1" s="205"/>
      <c r="CI1" s="205"/>
      <c r="CJ1" s="88"/>
    </row>
    <row r="2" spans="1:88" ht="17.25" customHeight="1" x14ac:dyDescent="0.4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CJ2" s="88"/>
    </row>
    <row r="3" spans="1:88" ht="21" customHeight="1" x14ac:dyDescent="0.3">
      <c r="A3" s="10"/>
      <c r="B3" s="208">
        <v>46174</v>
      </c>
      <c r="C3" s="208"/>
      <c r="D3" s="208"/>
      <c r="E3" s="208"/>
      <c r="F3" s="208"/>
      <c r="G3" s="10"/>
      <c r="H3" s="228">
        <v>0.85899999999999999</v>
      </c>
      <c r="I3" s="228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CE3" s="209">
        <f>B3</f>
        <v>46174</v>
      </c>
      <c r="CF3" s="209"/>
      <c r="CG3" s="209"/>
      <c r="CH3" s="209"/>
      <c r="CI3" s="209"/>
      <c r="CJ3" s="88"/>
    </row>
    <row r="4" spans="1:88" ht="10.5" hidden="1" customHeight="1" x14ac:dyDescent="0.3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CJ4" s="88"/>
    </row>
    <row r="5" spans="1:88" ht="16.5" customHeight="1" x14ac:dyDescent="0.35">
      <c r="A5" s="9"/>
      <c r="B5" s="206" t="s">
        <v>14</v>
      </c>
      <c r="C5" s="206"/>
      <c r="D5" s="206"/>
      <c r="E5" s="206"/>
      <c r="F5" s="206"/>
      <c r="G5" s="182">
        <v>1</v>
      </c>
      <c r="H5" s="182"/>
      <c r="I5" s="182">
        <v>2</v>
      </c>
      <c r="J5" s="182"/>
      <c r="K5" s="182">
        <v>3</v>
      </c>
      <c r="L5" s="182"/>
      <c r="M5" s="182">
        <v>4</v>
      </c>
      <c r="N5" s="182"/>
      <c r="O5" s="182">
        <v>5</v>
      </c>
      <c r="P5" s="182"/>
      <c r="Q5" s="182">
        <v>6</v>
      </c>
      <c r="R5" s="182"/>
      <c r="S5" s="182">
        <v>7</v>
      </c>
      <c r="T5" s="182"/>
      <c r="U5" s="182">
        <v>8</v>
      </c>
      <c r="V5" s="182"/>
      <c r="W5" s="182">
        <v>9</v>
      </c>
      <c r="X5" s="182"/>
      <c r="Y5" s="182">
        <v>10</v>
      </c>
      <c r="Z5" s="182"/>
      <c r="AA5" s="182">
        <v>11</v>
      </c>
      <c r="AB5" s="182"/>
      <c r="AC5" s="182">
        <v>12</v>
      </c>
      <c r="AD5" s="182"/>
      <c r="AE5" s="182">
        <v>13</v>
      </c>
      <c r="AF5" s="182"/>
      <c r="AG5" s="182">
        <v>14</v>
      </c>
      <c r="AH5" s="182"/>
      <c r="AI5" s="182">
        <v>15</v>
      </c>
      <c r="AJ5" s="182"/>
      <c r="AK5" s="182">
        <v>16</v>
      </c>
      <c r="AL5" s="182"/>
      <c r="AM5" s="182">
        <v>17</v>
      </c>
      <c r="AN5" s="182"/>
      <c r="AO5" s="182">
        <v>18</v>
      </c>
      <c r="AP5" s="182"/>
      <c r="AQ5" s="182">
        <v>19</v>
      </c>
      <c r="AR5" s="182"/>
      <c r="AS5" s="182">
        <v>20</v>
      </c>
      <c r="AT5" s="182"/>
      <c r="AU5" s="182">
        <v>21</v>
      </c>
      <c r="AV5" s="182"/>
      <c r="AW5" s="182">
        <v>22</v>
      </c>
      <c r="AX5" s="182"/>
      <c r="CE5" s="207" t="s">
        <v>15</v>
      </c>
      <c r="CF5" s="207"/>
      <c r="CG5" s="207"/>
      <c r="CH5" s="207"/>
      <c r="CI5" s="207"/>
      <c r="CJ5" s="88"/>
    </row>
    <row r="6" spans="1:88" ht="7.5" customHeight="1" thickBot="1" x14ac:dyDescent="0.25">
      <c r="A6" s="37"/>
      <c r="B6" s="38"/>
      <c r="CJ6" s="88"/>
    </row>
    <row r="7" spans="1:88" ht="15" customHeight="1" x14ac:dyDescent="0.25">
      <c r="A7" s="191" t="s">
        <v>6</v>
      </c>
      <c r="B7" s="193" t="s">
        <v>9</v>
      </c>
      <c r="C7" s="194"/>
      <c r="D7" s="194"/>
      <c r="E7" s="194"/>
      <c r="F7" s="194"/>
      <c r="G7" s="121" t="str">
        <f>IF(ISBLANK(Data!B2),"",Data!B2)</f>
        <v>Master</v>
      </c>
      <c r="H7" s="102"/>
      <c r="I7" s="121" t="str">
        <f>IF(ISBLANK(Data!B3),"",Data!B3)</f>
        <v>C/Off</v>
      </c>
      <c r="J7" s="102"/>
      <c r="K7" s="121" t="str">
        <f>IF(ISBLANK(Data!B4),"",Data!B4)</f>
        <v>3/Off</v>
      </c>
      <c r="L7" s="102"/>
      <c r="M7" s="121" t="str">
        <f>IF(ISBLANK(Data!B5),"",Data!B5)</f>
        <v>C/E</v>
      </c>
      <c r="N7" s="110"/>
      <c r="O7" s="121" t="str">
        <f>IF(ISBLANK(Data!B6),"",Data!B6)</f>
        <v>2/E</v>
      </c>
      <c r="P7" s="102"/>
      <c r="Q7" s="115" t="str">
        <f>IF(ISBLANK(Data!B7),"",Data!B7)</f>
        <v>Electrician</v>
      </c>
      <c r="R7" s="103"/>
      <c r="S7" s="121" t="str">
        <f>IF(ISBLANK(Data!B8),"",Data!B8)</f>
        <v>Bosun</v>
      </c>
      <c r="T7" s="102"/>
      <c r="U7" s="121" t="str">
        <f>IF(ISBLANK(Data!B9),"",Data!B9)</f>
        <v>AB</v>
      </c>
      <c r="V7" s="102"/>
      <c r="W7" s="121" t="str">
        <f>IF(ISBLANK(Data!B10),"",Data!B10)</f>
        <v>AB</v>
      </c>
      <c r="X7" s="102"/>
      <c r="Y7" s="121" t="str">
        <f>IF(ISBLANK(Data!B11),"",Data!B11)</f>
        <v>OS</v>
      </c>
      <c r="Z7" s="102"/>
      <c r="AA7" s="121" t="str">
        <f>IF(ISBLANK(Data!B12),"",Data!B12)</f>
        <v>OS</v>
      </c>
      <c r="AB7" s="102"/>
      <c r="AC7" s="121" t="str">
        <f>IF(ISBLANK(Data!B13),"",Data!B13)</f>
        <v>Motorman</v>
      </c>
      <c r="AD7" s="102"/>
      <c r="AE7" s="115" t="str">
        <f>IF(ISBLANK(Data!B14),"",Data!B14)</f>
        <v>Cook</v>
      </c>
      <c r="AF7" s="103"/>
      <c r="AG7" s="115" t="str">
        <f>IF(ISBLANK(Data!B15),"",Data!B15)</f>
        <v>Fitter</v>
      </c>
      <c r="AH7" s="103"/>
      <c r="AI7" s="115" t="str">
        <f>IF(ISBLANK(Data!B16),"",Data!B16)</f>
        <v/>
      </c>
      <c r="AJ7" s="103"/>
      <c r="AK7" s="115" t="str">
        <f>IF(ISBLANK(Data!B17),"",Data!B17)</f>
        <v/>
      </c>
      <c r="AL7" s="103"/>
      <c r="AM7" s="115" t="str">
        <f>IF(ISBLANK(Data!B18),"",Data!B18)</f>
        <v/>
      </c>
      <c r="AN7" s="103"/>
      <c r="AO7" s="115" t="str">
        <f>IF(ISBLANK(Data!B19),"",Data!B19)</f>
        <v/>
      </c>
      <c r="AP7" s="103"/>
      <c r="AQ7" s="115" t="str">
        <f>IF(ISBLANK(Data!B20),"",Data!B20)</f>
        <v/>
      </c>
      <c r="AR7" s="103"/>
      <c r="AS7" s="121" t="str">
        <f>IF(ISBLANK(Data!B21),"",Data!B21)</f>
        <v/>
      </c>
      <c r="AT7" s="102"/>
      <c r="AU7" s="121" t="str">
        <f>IF(ISBLANK(Data!B22),"",Data!B22)</f>
        <v/>
      </c>
      <c r="AV7" s="102"/>
      <c r="AW7" s="121" t="str">
        <f>IF(ISBLANK(Data!B23),"",Data!B23)</f>
        <v/>
      </c>
      <c r="AX7" s="102"/>
      <c r="AY7" s="222" t="s">
        <v>6</v>
      </c>
      <c r="AZ7" s="211" t="s">
        <v>7</v>
      </c>
      <c r="BA7" s="211"/>
      <c r="BB7" s="222" t="s">
        <v>6</v>
      </c>
      <c r="BC7" s="224" t="s">
        <v>8</v>
      </c>
      <c r="BD7" s="212"/>
      <c r="BE7" s="115" t="str">
        <f>IF(ISBLANK(Data!G2),"",Data!G2)</f>
        <v/>
      </c>
      <c r="BF7" s="103"/>
      <c r="BG7" s="115" t="str">
        <f>IF(ISBLANK(Data!G3),"",Data!G3)</f>
        <v/>
      </c>
      <c r="BH7" s="103"/>
      <c r="BI7" s="115" t="str">
        <f>IF(ISBLANK(Data!G4),"",Data!G4)</f>
        <v/>
      </c>
      <c r="BJ7" s="103"/>
      <c r="BK7" s="115" t="str">
        <f>IF(ISBLANK(Data!G5),"",Data!G5)</f>
        <v/>
      </c>
      <c r="BL7" s="103"/>
      <c r="BM7" s="115" t="str">
        <f>IF(ISBLANK(Data!G6),"",Data!G6)</f>
        <v/>
      </c>
      <c r="BN7" s="103"/>
      <c r="BO7" s="115" t="str">
        <f>IF(ISBLANK(Data!G7),"",Data!G7)</f>
        <v/>
      </c>
      <c r="BP7" s="103"/>
      <c r="BQ7" s="115" t="str">
        <f>IF(ISBLANK(Data!G8),"",Data!G8)</f>
        <v/>
      </c>
      <c r="BR7" s="103"/>
      <c r="BS7" s="115" t="str">
        <f>IF(ISBLANK(Data!G9),"",Data!G9)</f>
        <v/>
      </c>
      <c r="BT7" s="103"/>
      <c r="BU7" s="115" t="str">
        <f>IF(ISBLANK(Data!G10),"",Data!G10)</f>
        <v/>
      </c>
      <c r="BV7" s="103"/>
      <c r="BW7" s="115" t="str">
        <f>IF(ISBLANK(Data!G11),"",Data!G11)</f>
        <v/>
      </c>
      <c r="BX7" s="103"/>
      <c r="BY7" s="115" t="str">
        <f>IF(ISBLANK(Data!G12),"",Data!G12)</f>
        <v/>
      </c>
      <c r="BZ7" s="103"/>
      <c r="CA7" s="226" t="s">
        <v>6</v>
      </c>
      <c r="CB7" s="218" t="s">
        <v>10</v>
      </c>
      <c r="CC7" s="219"/>
      <c r="CD7" s="216" t="s">
        <v>6</v>
      </c>
      <c r="CE7" s="210" t="s">
        <v>4</v>
      </c>
      <c r="CF7" s="211"/>
      <c r="CG7" s="211"/>
      <c r="CH7" s="211"/>
      <c r="CI7" s="212"/>
      <c r="CJ7" s="88"/>
    </row>
    <row r="8" spans="1:88" ht="15.75" customHeight="1" thickBot="1" x14ac:dyDescent="0.25">
      <c r="A8" s="192"/>
      <c r="B8" s="195"/>
      <c r="C8" s="196"/>
      <c r="D8" s="196"/>
      <c r="E8" s="196"/>
      <c r="F8" s="196"/>
      <c r="G8" s="137" t="str">
        <f>IF(ISBLANK(Data!C2),"",Data!C2)</f>
        <v>Name</v>
      </c>
      <c r="H8" s="138"/>
      <c r="I8" s="137" t="str">
        <f>IF(ISBLANK(Data!C3),"",Data!C3)</f>
        <v>Name</v>
      </c>
      <c r="J8" s="138"/>
      <c r="K8" s="137" t="str">
        <f>IF(ISBLANK(Data!C4),"",Data!C4)</f>
        <v>Name</v>
      </c>
      <c r="L8" s="138"/>
      <c r="M8" s="137" t="str">
        <f>IF(ISBLANK(Data!C5),"",Data!C5)</f>
        <v>Name</v>
      </c>
      <c r="N8" s="139"/>
      <c r="O8" s="140" t="str">
        <f>IF(ISBLANK(Data!C6),"",Data!C6)</f>
        <v>Name</v>
      </c>
      <c r="P8" s="138"/>
      <c r="Q8" s="140" t="str">
        <f>IF(ISBLANK(Data!C7),"",Data!C7)</f>
        <v>Name</v>
      </c>
      <c r="R8" s="141"/>
      <c r="S8" s="137" t="str">
        <f>IF(ISBLANK(Data!C8),"",Data!C8)</f>
        <v>Name</v>
      </c>
      <c r="T8" s="138"/>
      <c r="U8" s="137" t="str">
        <f>IF(ISBLANK(Data!C9),"",Data!C9)</f>
        <v>Name</v>
      </c>
      <c r="V8" s="138"/>
      <c r="W8" s="137" t="str">
        <f>IF(ISBLANK(Data!C10),"",Data!C10)</f>
        <v>Name</v>
      </c>
      <c r="X8" s="138"/>
      <c r="Y8" s="137" t="str">
        <f>IF(ISBLANK(Data!C11),"",Data!C11)</f>
        <v>Name</v>
      </c>
      <c r="Z8" s="138"/>
      <c r="AA8" s="137" t="str">
        <f>IF(ISBLANK(Data!C12),"",Data!C12)</f>
        <v>Name</v>
      </c>
      <c r="AB8" s="138"/>
      <c r="AC8" s="137" t="str">
        <f>IF(ISBLANK(Data!C13),"",Data!C13)</f>
        <v>Name</v>
      </c>
      <c r="AD8" s="138"/>
      <c r="AE8" s="140" t="str">
        <f>IF(ISBLANK(Data!C14),"",Data!C14)</f>
        <v>Name</v>
      </c>
      <c r="AF8" s="141"/>
      <c r="AG8" s="140" t="str">
        <f>IF(ISBLANK(Data!C15),"",Data!C15)</f>
        <v>Name</v>
      </c>
      <c r="AH8" s="141"/>
      <c r="AI8" s="140" t="str">
        <f>IF(ISBLANK(Data!C16),"",Data!C16)</f>
        <v/>
      </c>
      <c r="AJ8" s="141"/>
      <c r="AK8" s="140" t="str">
        <f>IF(ISBLANK(Data!C17),"",Data!C17)</f>
        <v/>
      </c>
      <c r="AL8" s="141"/>
      <c r="AM8" s="140" t="str">
        <f>IF(ISBLANK(Data!C18),"",Data!C18)</f>
        <v/>
      </c>
      <c r="AN8" s="141"/>
      <c r="AO8" s="140" t="str">
        <f>IF(ISBLANK(Data!C19),"",Data!C19)</f>
        <v/>
      </c>
      <c r="AP8" s="141"/>
      <c r="AQ8" s="140" t="str">
        <f>IF(ISBLANK(Data!C20),"",Data!C20)</f>
        <v/>
      </c>
      <c r="AR8" s="141"/>
      <c r="AS8" s="137" t="str">
        <f>IF(ISBLANK(Data!C21),"",Data!C21)</f>
        <v/>
      </c>
      <c r="AT8" s="138"/>
      <c r="AU8" s="137" t="str">
        <f>IF(ISBLANK(Data!C22),"",Data!C22)</f>
        <v/>
      </c>
      <c r="AV8" s="138"/>
      <c r="AW8" s="137" t="str">
        <f>IF(ISBLANK(Data!C23),"",Data!C23)</f>
        <v/>
      </c>
      <c r="AX8" s="138"/>
      <c r="AY8" s="223"/>
      <c r="AZ8" s="214"/>
      <c r="BA8" s="214"/>
      <c r="BB8" s="223"/>
      <c r="BC8" s="225"/>
      <c r="BD8" s="215"/>
      <c r="BE8" s="116" t="str">
        <f>IF(ISBLANK(Data!H2),"",Data!H2)</f>
        <v/>
      </c>
      <c r="BF8" s="117"/>
      <c r="BG8" s="116" t="str">
        <f>IF(ISBLANK(Data!H3),"",Data!H3)</f>
        <v/>
      </c>
      <c r="BH8" s="117"/>
      <c r="BI8" s="116" t="str">
        <f>IF(ISBLANK(Data!H4),"",Data!H4)</f>
        <v/>
      </c>
      <c r="BJ8" s="119"/>
      <c r="BK8" s="118" t="str">
        <f>IF(ISBLANK(Data!H5),"",Data!H5)</f>
        <v/>
      </c>
      <c r="BL8" s="119"/>
      <c r="BM8" s="118" t="str">
        <f>IF(ISBLANK(Data!H6),"",Data!H6)</f>
        <v/>
      </c>
      <c r="BN8" s="119"/>
      <c r="BO8" s="118" t="str">
        <f>IF(ISBLANK(Data!H7),"",Data!H7)</f>
        <v/>
      </c>
      <c r="BP8" s="119"/>
      <c r="BQ8" s="118" t="str">
        <f>IF(ISBLANK(Data!H8),"",Data!H8)</f>
        <v/>
      </c>
      <c r="BR8" s="119"/>
      <c r="BS8" s="118" t="str">
        <f>IF(ISBLANK(Data!H9),"",Data!H9)</f>
        <v/>
      </c>
      <c r="BT8" s="119"/>
      <c r="BU8" s="118" t="str">
        <f>IF(ISBLANK(Data!H10),"",Data!H10)</f>
        <v/>
      </c>
      <c r="BV8" s="119"/>
      <c r="BW8" s="118" t="str">
        <f>IF(ISBLANK(Data!H11),"",Data!H11)</f>
        <v/>
      </c>
      <c r="BX8" s="119"/>
      <c r="BY8" s="118" t="str">
        <f>IF(ISBLANK(Data!H12),"",Data!H12)</f>
        <v/>
      </c>
      <c r="BZ8" s="119"/>
      <c r="CA8" s="227"/>
      <c r="CB8" s="220"/>
      <c r="CC8" s="221"/>
      <c r="CD8" s="217"/>
      <c r="CE8" s="213"/>
      <c r="CF8" s="214"/>
      <c r="CG8" s="214"/>
      <c r="CH8" s="214"/>
      <c r="CI8" s="215"/>
      <c r="CJ8" s="88"/>
    </row>
    <row r="9" spans="1:88" s="2" customFormat="1" ht="15" x14ac:dyDescent="0.25">
      <c r="A9" s="39">
        <v>1</v>
      </c>
      <c r="B9" s="40" t="s">
        <v>16</v>
      </c>
      <c r="C9" s="41">
        <v>4</v>
      </c>
      <c r="D9" s="42" t="s">
        <v>17</v>
      </c>
      <c r="E9" s="169">
        <v>23</v>
      </c>
      <c r="F9" s="165">
        <f>C9*E9</f>
        <v>92</v>
      </c>
      <c r="G9" s="89"/>
      <c r="H9" s="143">
        <f>G9*$E9</f>
        <v>0</v>
      </c>
      <c r="I9" s="89"/>
      <c r="J9" s="143">
        <f>I9*$E9</f>
        <v>0</v>
      </c>
      <c r="K9" s="91"/>
      <c r="L9" s="143">
        <f>K9*$E9</f>
        <v>0</v>
      </c>
      <c r="M9" s="105"/>
      <c r="N9" s="144">
        <f>M9*$E9</f>
        <v>0</v>
      </c>
      <c r="O9" s="89"/>
      <c r="P9" s="145">
        <f>O9*$E9</f>
        <v>0</v>
      </c>
      <c r="Q9" s="89"/>
      <c r="R9" s="143">
        <f>Q9*$E9</f>
        <v>0</v>
      </c>
      <c r="S9" s="89"/>
      <c r="T9" s="143">
        <f>S9*$E9</f>
        <v>0</v>
      </c>
      <c r="U9" s="107"/>
      <c r="V9" s="143">
        <f>U9*$E9</f>
        <v>0</v>
      </c>
      <c r="W9" s="89"/>
      <c r="X9" s="143">
        <f>W9*$E9</f>
        <v>0</v>
      </c>
      <c r="Y9" s="89"/>
      <c r="Z9" s="143">
        <f>Y9*$E9</f>
        <v>0</v>
      </c>
      <c r="AA9" s="89"/>
      <c r="AB9" s="143">
        <f>AA9*$E9</f>
        <v>0</v>
      </c>
      <c r="AC9" s="89"/>
      <c r="AD9" s="143">
        <f>AC9*$E9</f>
        <v>0</v>
      </c>
      <c r="AE9" s="89"/>
      <c r="AF9" s="143">
        <f>AE9*$E9</f>
        <v>0</v>
      </c>
      <c r="AG9" s="89"/>
      <c r="AH9" s="143">
        <f>AG9*$E9</f>
        <v>0</v>
      </c>
      <c r="AI9" s="89"/>
      <c r="AJ9" s="143">
        <f>AI9*$E9</f>
        <v>0</v>
      </c>
      <c r="AK9" s="89"/>
      <c r="AL9" s="143">
        <f>AK9*$E9</f>
        <v>0</v>
      </c>
      <c r="AM9" s="89"/>
      <c r="AN9" s="143">
        <f>AM9*$E9</f>
        <v>0</v>
      </c>
      <c r="AO9" s="89"/>
      <c r="AP9" s="143">
        <f>AO9*$E9</f>
        <v>0</v>
      </c>
      <c r="AQ9" s="89"/>
      <c r="AR9" s="143">
        <f>AQ9*$E9</f>
        <v>0</v>
      </c>
      <c r="AS9" s="89"/>
      <c r="AT9" s="143">
        <f>AS9*$E9</f>
        <v>0</v>
      </c>
      <c r="AU9" s="89"/>
      <c r="AV9" s="143">
        <f>AU9*$E9</f>
        <v>0</v>
      </c>
      <c r="AW9" s="89"/>
      <c r="AX9" s="143">
        <f>AW9*$E9</f>
        <v>0</v>
      </c>
      <c r="AY9" s="39">
        <v>1</v>
      </c>
      <c r="AZ9" s="154">
        <f t="shared" ref="AZ9:AZ40" si="0">AW9+AU9+AS9+AQ9+AO9+AM9+AK9+AI9+AG9+AE9+AC9+AA9+Y9+W9+U9+S9+Q9+O9+M9+K9+I9+G9</f>
        <v>0</v>
      </c>
      <c r="BA9" s="143">
        <f t="shared" ref="BA9:BA40" si="1">AZ9*E9</f>
        <v>0</v>
      </c>
      <c r="BB9" s="43">
        <v>1</v>
      </c>
      <c r="BC9" s="157">
        <f t="shared" ref="BC9:BC40" si="2">C9-AZ9</f>
        <v>4</v>
      </c>
      <c r="BD9" s="145">
        <f t="shared" ref="BD9:BD40" si="3">BC9*E9</f>
        <v>92</v>
      </c>
      <c r="BE9" s="150"/>
      <c r="BF9" s="147">
        <f>BE9*$E9</f>
        <v>0</v>
      </c>
      <c r="BG9" s="150"/>
      <c r="BH9" s="147">
        <f>BG9*$E9</f>
        <v>0</v>
      </c>
      <c r="BI9" s="150"/>
      <c r="BJ9" s="143">
        <f>BI9*$E9</f>
        <v>0</v>
      </c>
      <c r="BK9" s="150"/>
      <c r="BL9" s="143">
        <f>BK9*$E9</f>
        <v>0</v>
      </c>
      <c r="BM9" s="150"/>
      <c r="BN9" s="143">
        <f>BM9*$E9</f>
        <v>0</v>
      </c>
      <c r="BO9" s="150"/>
      <c r="BP9" s="143">
        <f>BO9*$E9</f>
        <v>0</v>
      </c>
      <c r="BQ9" s="150"/>
      <c r="BR9" s="143">
        <f>BQ9*$E9</f>
        <v>0</v>
      </c>
      <c r="BS9" s="150"/>
      <c r="BT9" s="143">
        <f>BS9*$E9</f>
        <v>0</v>
      </c>
      <c r="BU9" s="150"/>
      <c r="BV9" s="143">
        <f>BU9*$E9</f>
        <v>0</v>
      </c>
      <c r="BW9" s="150"/>
      <c r="BX9" s="143">
        <f>BW9*$E9</f>
        <v>0</v>
      </c>
      <c r="BY9" s="150"/>
      <c r="BZ9" s="143">
        <f>BY9*$E9</f>
        <v>0</v>
      </c>
      <c r="CA9" s="39">
        <v>1</v>
      </c>
      <c r="CB9" s="148">
        <f>BY9+BW9+BU9+BS9+BQ9+BO9+BM9+BK9+BI9+BG9+BE9</f>
        <v>0</v>
      </c>
      <c r="CC9" s="143">
        <f t="shared" ref="CC9:CC40" si="4">E9*CB9</f>
        <v>0</v>
      </c>
      <c r="CD9" s="39">
        <v>1</v>
      </c>
      <c r="CE9" s="44" t="str">
        <f t="shared" ref="CE9:CE40" si="5">B9</f>
        <v>Winston Blue</v>
      </c>
      <c r="CF9" s="173">
        <f t="shared" ref="CF9:CF40" si="6">C9-AZ9-CB9</f>
        <v>4</v>
      </c>
      <c r="CG9" s="161" t="str">
        <f t="shared" ref="CG9:CG40" si="7">D9</f>
        <v>crt</v>
      </c>
      <c r="CH9" s="160">
        <f t="shared" ref="CH9:CH40" si="8">E9</f>
        <v>23</v>
      </c>
      <c r="CI9" s="160">
        <f>CF9*CH9</f>
        <v>92</v>
      </c>
      <c r="CJ9" s="45">
        <f>CI9*$H$3</f>
        <v>79.027999999999992</v>
      </c>
    </row>
    <row r="10" spans="1:88" ht="15" x14ac:dyDescent="0.25">
      <c r="A10" s="46">
        <v>2</v>
      </c>
      <c r="B10" s="40" t="s">
        <v>18</v>
      </c>
      <c r="C10" s="41">
        <v>39</v>
      </c>
      <c r="D10" s="42" t="s">
        <v>5</v>
      </c>
      <c r="E10" s="169">
        <v>1</v>
      </c>
      <c r="F10" s="165">
        <f>C10*E10</f>
        <v>39</v>
      </c>
      <c r="G10" s="90"/>
      <c r="H10" s="143">
        <f t="shared" ref="H10:H61" si="9">G10*$E10</f>
        <v>0</v>
      </c>
      <c r="I10" s="90"/>
      <c r="J10" s="143">
        <f t="shared" ref="J10" si="10">I10*$E10</f>
        <v>0</v>
      </c>
      <c r="K10" s="90"/>
      <c r="L10" s="143">
        <f t="shared" ref="L10" si="11">K10*$E10</f>
        <v>0</v>
      </c>
      <c r="M10" s="90"/>
      <c r="N10" s="144">
        <f t="shared" ref="N10" si="12">M10*$E10</f>
        <v>0</v>
      </c>
      <c r="O10" s="90"/>
      <c r="P10" s="145">
        <f t="shared" ref="P10" si="13">O10*$E10</f>
        <v>0</v>
      </c>
      <c r="Q10" s="90"/>
      <c r="R10" s="143">
        <f t="shared" ref="R10" si="14">Q10*$E10</f>
        <v>0</v>
      </c>
      <c r="S10" s="90"/>
      <c r="T10" s="143">
        <f t="shared" ref="T10" si="15">S10*$E10</f>
        <v>0</v>
      </c>
      <c r="U10" s="108"/>
      <c r="V10" s="143">
        <f t="shared" ref="V10" si="16">U10*$E10</f>
        <v>0</v>
      </c>
      <c r="W10" s="90"/>
      <c r="X10" s="143">
        <f t="shared" ref="X10" si="17">W10*$E10</f>
        <v>0</v>
      </c>
      <c r="Y10" s="90"/>
      <c r="Z10" s="143">
        <f t="shared" ref="Z10" si="18">Y10*$E10</f>
        <v>0</v>
      </c>
      <c r="AA10" s="90"/>
      <c r="AB10" s="143">
        <f t="shared" ref="AB10" si="19">AA10*$E10</f>
        <v>0</v>
      </c>
      <c r="AC10" s="90"/>
      <c r="AD10" s="143">
        <f t="shared" ref="AD10" si="20">AC10*$E10</f>
        <v>0</v>
      </c>
      <c r="AE10" s="90"/>
      <c r="AF10" s="143">
        <f t="shared" ref="AF10" si="21">AE10*$E10</f>
        <v>0</v>
      </c>
      <c r="AG10" s="90"/>
      <c r="AH10" s="143">
        <f t="shared" ref="AH10" si="22">AG10*$E10</f>
        <v>0</v>
      </c>
      <c r="AI10" s="90"/>
      <c r="AJ10" s="143">
        <f t="shared" ref="AJ10" si="23">AI10*$E10</f>
        <v>0</v>
      </c>
      <c r="AK10" s="90"/>
      <c r="AL10" s="143">
        <f t="shared" ref="AL10:AL61" si="24">AK10*$E10</f>
        <v>0</v>
      </c>
      <c r="AM10" s="90"/>
      <c r="AN10" s="143">
        <f t="shared" ref="AN10:AN61" si="25">AM10*$E10</f>
        <v>0</v>
      </c>
      <c r="AO10" s="90"/>
      <c r="AP10" s="143">
        <f t="shared" ref="AP10:AP61" si="26">AO10*$E10</f>
        <v>0</v>
      </c>
      <c r="AQ10" s="90"/>
      <c r="AR10" s="143">
        <f t="shared" ref="AR10:AR61" si="27">AQ10*$E10</f>
        <v>0</v>
      </c>
      <c r="AS10" s="90"/>
      <c r="AT10" s="143">
        <f t="shared" ref="AT10:AT61" si="28">AS10*$E10</f>
        <v>0</v>
      </c>
      <c r="AU10" s="90"/>
      <c r="AV10" s="143">
        <f t="shared" ref="AV10:AV61" si="29">AU10*$E10</f>
        <v>0</v>
      </c>
      <c r="AW10" s="90"/>
      <c r="AX10" s="143">
        <f t="shared" ref="AX10:AX61" si="30">AW10*$E10</f>
        <v>0</v>
      </c>
      <c r="AY10" s="46">
        <v>2</v>
      </c>
      <c r="AZ10" s="155">
        <f t="shared" si="0"/>
        <v>0</v>
      </c>
      <c r="BA10" s="143">
        <f t="shared" si="1"/>
        <v>0</v>
      </c>
      <c r="BB10" s="47">
        <v>2</v>
      </c>
      <c r="BC10" s="158">
        <f t="shared" si="2"/>
        <v>39</v>
      </c>
      <c r="BD10" s="145">
        <f t="shared" si="3"/>
        <v>39</v>
      </c>
      <c r="BE10" s="151"/>
      <c r="BF10" s="143">
        <f t="shared" ref="BF10:BH61" si="31">BE10*$E10</f>
        <v>0</v>
      </c>
      <c r="BG10" s="151"/>
      <c r="BH10" s="143">
        <f t="shared" si="31"/>
        <v>0</v>
      </c>
      <c r="BI10" s="151"/>
      <c r="BJ10" s="143">
        <f t="shared" ref="BJ10" si="32">BI10*$E10</f>
        <v>0</v>
      </c>
      <c r="BK10" s="151"/>
      <c r="BL10" s="143">
        <f t="shared" ref="BL10" si="33">BK10*$E10</f>
        <v>0</v>
      </c>
      <c r="BM10" s="151"/>
      <c r="BN10" s="143">
        <f t="shared" ref="BN10" si="34">BM10*$E10</f>
        <v>0</v>
      </c>
      <c r="BO10" s="151"/>
      <c r="BP10" s="143">
        <f t="shared" ref="BP10" si="35">BO10*$E10</f>
        <v>0</v>
      </c>
      <c r="BQ10" s="151"/>
      <c r="BR10" s="143">
        <f t="shared" ref="BR10" si="36">BQ10*$E10</f>
        <v>0</v>
      </c>
      <c r="BS10" s="151"/>
      <c r="BT10" s="143">
        <f t="shared" ref="BT10" si="37">BS10*$E10</f>
        <v>0</v>
      </c>
      <c r="BU10" s="151"/>
      <c r="BV10" s="143">
        <f t="shared" ref="BV10" si="38">BU10*$E10</f>
        <v>0</v>
      </c>
      <c r="BW10" s="151"/>
      <c r="BX10" s="143">
        <f t="shared" ref="BX10" si="39">BW10*$E10</f>
        <v>0</v>
      </c>
      <c r="BY10" s="151"/>
      <c r="BZ10" s="143">
        <f t="shared" ref="BZ10" si="40">BY10*$E10</f>
        <v>0</v>
      </c>
      <c r="CA10" s="46">
        <v>2</v>
      </c>
      <c r="CB10" s="149">
        <f t="shared" ref="CB10:CB61" si="41">BY10+BW10+BU10+BS10+BQ10+BO10+BM10+BK10+BI10+BG10+BE10</f>
        <v>0</v>
      </c>
      <c r="CC10" s="143">
        <f t="shared" si="4"/>
        <v>0</v>
      </c>
      <c r="CD10" s="46">
        <v>2</v>
      </c>
      <c r="CE10" s="48" t="str">
        <f t="shared" si="5"/>
        <v>Prestigio chocolate , 33 g</v>
      </c>
      <c r="CF10" s="174">
        <f t="shared" si="6"/>
        <v>39</v>
      </c>
      <c r="CG10" s="162" t="str">
        <f t="shared" si="7"/>
        <v>pcs</v>
      </c>
      <c r="CH10" s="160">
        <f t="shared" si="8"/>
        <v>1</v>
      </c>
      <c r="CI10" s="160">
        <f t="shared" ref="CI10:CI61" si="42">CF10*CH10</f>
        <v>39</v>
      </c>
      <c r="CJ10" s="45">
        <f t="shared" ref="CJ10:CJ61" si="43">CI10*$H$3</f>
        <v>33.500999999999998</v>
      </c>
    </row>
    <row r="11" spans="1:88" ht="15" x14ac:dyDescent="0.25">
      <c r="A11" s="49">
        <v>3</v>
      </c>
      <c r="B11" s="40" t="s">
        <v>20</v>
      </c>
      <c r="C11" s="41">
        <v>29</v>
      </c>
      <c r="D11" s="42" t="s">
        <v>5</v>
      </c>
      <c r="E11" s="169">
        <v>2</v>
      </c>
      <c r="F11" s="165">
        <f>C11*E11</f>
        <v>58</v>
      </c>
      <c r="G11" s="90"/>
      <c r="H11" s="143">
        <f t="shared" si="9"/>
        <v>0</v>
      </c>
      <c r="I11" s="90"/>
      <c r="J11" s="143">
        <f t="shared" ref="J11" si="44">I11*$E11</f>
        <v>0</v>
      </c>
      <c r="K11" s="90"/>
      <c r="L11" s="143">
        <f t="shared" ref="L11" si="45">K11*$E11</f>
        <v>0</v>
      </c>
      <c r="M11" s="90"/>
      <c r="N11" s="144">
        <f t="shared" ref="N11" si="46">M11*$E11</f>
        <v>0</v>
      </c>
      <c r="O11" s="90"/>
      <c r="P11" s="145">
        <f t="shared" ref="P11" si="47">O11*$E11</f>
        <v>0</v>
      </c>
      <c r="Q11" s="90"/>
      <c r="R11" s="143">
        <f t="shared" ref="R11" si="48">Q11*$E11</f>
        <v>0</v>
      </c>
      <c r="S11" s="90"/>
      <c r="T11" s="143">
        <f t="shared" ref="T11" si="49">S11*$E11</f>
        <v>0</v>
      </c>
      <c r="U11" s="108"/>
      <c r="V11" s="143">
        <f t="shared" ref="V11" si="50">U11*$E11</f>
        <v>0</v>
      </c>
      <c r="W11" s="90"/>
      <c r="X11" s="143">
        <f t="shared" ref="X11" si="51">W11*$E11</f>
        <v>0</v>
      </c>
      <c r="Y11" s="90"/>
      <c r="Z11" s="143">
        <f t="shared" ref="Z11" si="52">Y11*$E11</f>
        <v>0</v>
      </c>
      <c r="AA11" s="90"/>
      <c r="AB11" s="143">
        <f t="shared" ref="AB11" si="53">AA11*$E11</f>
        <v>0</v>
      </c>
      <c r="AC11" s="90"/>
      <c r="AD11" s="143">
        <f t="shared" ref="AD11" si="54">AC11*$E11</f>
        <v>0</v>
      </c>
      <c r="AE11" s="90"/>
      <c r="AF11" s="143">
        <f t="shared" ref="AF11" si="55">AE11*$E11</f>
        <v>0</v>
      </c>
      <c r="AG11" s="90"/>
      <c r="AH11" s="143">
        <f t="shared" ref="AH11" si="56">AG11*$E11</f>
        <v>0</v>
      </c>
      <c r="AI11" s="90"/>
      <c r="AJ11" s="143">
        <f t="shared" ref="AJ11" si="57">AI11*$E11</f>
        <v>0</v>
      </c>
      <c r="AK11" s="90"/>
      <c r="AL11" s="143">
        <f t="shared" si="24"/>
        <v>0</v>
      </c>
      <c r="AM11" s="90"/>
      <c r="AN11" s="143">
        <f t="shared" si="25"/>
        <v>0</v>
      </c>
      <c r="AO11" s="90"/>
      <c r="AP11" s="143">
        <f t="shared" si="26"/>
        <v>0</v>
      </c>
      <c r="AQ11" s="90"/>
      <c r="AR11" s="143">
        <f t="shared" si="27"/>
        <v>0</v>
      </c>
      <c r="AS11" s="90"/>
      <c r="AT11" s="143">
        <f t="shared" si="28"/>
        <v>0</v>
      </c>
      <c r="AU11" s="90"/>
      <c r="AV11" s="143">
        <f t="shared" si="29"/>
        <v>0</v>
      </c>
      <c r="AW11" s="90"/>
      <c r="AX11" s="143">
        <f t="shared" si="30"/>
        <v>0</v>
      </c>
      <c r="AY11" s="49">
        <v>3</v>
      </c>
      <c r="AZ11" s="155">
        <f t="shared" si="0"/>
        <v>0</v>
      </c>
      <c r="BA11" s="143">
        <f t="shared" si="1"/>
        <v>0</v>
      </c>
      <c r="BB11" s="50">
        <v>3</v>
      </c>
      <c r="BC11" s="158">
        <f t="shared" si="2"/>
        <v>29</v>
      </c>
      <c r="BD11" s="145">
        <f t="shared" si="3"/>
        <v>58</v>
      </c>
      <c r="BE11" s="151"/>
      <c r="BF11" s="143">
        <f t="shared" si="31"/>
        <v>0</v>
      </c>
      <c r="BG11" s="151"/>
      <c r="BH11" s="143">
        <f t="shared" si="31"/>
        <v>0</v>
      </c>
      <c r="BI11" s="151"/>
      <c r="BJ11" s="143">
        <f t="shared" ref="BJ11" si="58">BI11*$E11</f>
        <v>0</v>
      </c>
      <c r="BK11" s="151"/>
      <c r="BL11" s="143">
        <f t="shared" ref="BL11" si="59">BK11*$E11</f>
        <v>0</v>
      </c>
      <c r="BM11" s="151"/>
      <c r="BN11" s="143">
        <f t="shared" ref="BN11" si="60">BM11*$E11</f>
        <v>0</v>
      </c>
      <c r="BO11" s="151"/>
      <c r="BP11" s="143">
        <f t="shared" ref="BP11" si="61">BO11*$E11</f>
        <v>0</v>
      </c>
      <c r="BQ11" s="151"/>
      <c r="BR11" s="143">
        <f t="shared" ref="BR11" si="62">BQ11*$E11</f>
        <v>0</v>
      </c>
      <c r="BS11" s="151"/>
      <c r="BT11" s="143">
        <f t="shared" ref="BT11" si="63">BS11*$E11</f>
        <v>0</v>
      </c>
      <c r="BU11" s="151"/>
      <c r="BV11" s="143">
        <f t="shared" ref="BV11" si="64">BU11*$E11</f>
        <v>0</v>
      </c>
      <c r="BW11" s="151"/>
      <c r="BX11" s="143">
        <f t="shared" ref="BX11" si="65">BW11*$E11</f>
        <v>0</v>
      </c>
      <c r="BY11" s="151"/>
      <c r="BZ11" s="143">
        <f t="shared" ref="BZ11" si="66">BY11*$E11</f>
        <v>0</v>
      </c>
      <c r="CA11" s="49">
        <v>3</v>
      </c>
      <c r="CB11" s="149">
        <f t="shared" si="41"/>
        <v>0</v>
      </c>
      <c r="CC11" s="143">
        <f t="shared" si="4"/>
        <v>0</v>
      </c>
      <c r="CD11" s="49">
        <v>3</v>
      </c>
      <c r="CE11" s="48" t="str">
        <f t="shared" si="5"/>
        <v>Mixed nuts Brazil , 50 g</v>
      </c>
      <c r="CF11" s="174">
        <f t="shared" si="6"/>
        <v>29</v>
      </c>
      <c r="CG11" s="162" t="str">
        <f t="shared" si="7"/>
        <v>pcs</v>
      </c>
      <c r="CH11" s="160">
        <f t="shared" si="8"/>
        <v>2</v>
      </c>
      <c r="CI11" s="160">
        <f t="shared" si="42"/>
        <v>58</v>
      </c>
      <c r="CJ11" s="45">
        <f t="shared" si="43"/>
        <v>49.822000000000003</v>
      </c>
    </row>
    <row r="12" spans="1:88" ht="15" x14ac:dyDescent="0.25">
      <c r="A12" s="46">
        <v>4</v>
      </c>
      <c r="B12" s="40" t="s">
        <v>21</v>
      </c>
      <c r="C12" s="41">
        <v>1</v>
      </c>
      <c r="D12" s="42" t="s">
        <v>22</v>
      </c>
      <c r="E12" s="169">
        <v>8</v>
      </c>
      <c r="F12" s="165">
        <f>C12*E12</f>
        <v>8</v>
      </c>
      <c r="G12" s="91"/>
      <c r="H12" s="143">
        <f t="shared" si="9"/>
        <v>0</v>
      </c>
      <c r="I12" s="91"/>
      <c r="J12" s="143">
        <f t="shared" ref="J12" si="67">I12*$E12</f>
        <v>0</v>
      </c>
      <c r="K12" s="91"/>
      <c r="L12" s="143">
        <f t="shared" ref="L12" si="68">K12*$E12</f>
        <v>0</v>
      </c>
      <c r="M12" s="90"/>
      <c r="N12" s="144">
        <f t="shared" ref="N12" si="69">M12*$E12</f>
        <v>0</v>
      </c>
      <c r="O12" s="91"/>
      <c r="P12" s="145">
        <f t="shared" ref="P12" si="70">O12*$E12</f>
        <v>0</v>
      </c>
      <c r="Q12" s="91"/>
      <c r="R12" s="143">
        <f t="shared" ref="R12" si="71">Q12*$E12</f>
        <v>0</v>
      </c>
      <c r="S12" s="91"/>
      <c r="T12" s="143">
        <f t="shared" ref="T12" si="72">S12*$E12</f>
        <v>0</v>
      </c>
      <c r="U12" s="109"/>
      <c r="V12" s="143">
        <f t="shared" ref="V12" si="73">U12*$E12</f>
        <v>0</v>
      </c>
      <c r="W12" s="91"/>
      <c r="X12" s="143">
        <f t="shared" ref="X12" si="74">W12*$E12</f>
        <v>0</v>
      </c>
      <c r="Y12" s="91"/>
      <c r="Z12" s="143">
        <f t="shared" ref="Z12" si="75">Y12*$E12</f>
        <v>0</v>
      </c>
      <c r="AA12" s="91"/>
      <c r="AB12" s="143">
        <f t="shared" ref="AB12" si="76">AA12*$E12</f>
        <v>0</v>
      </c>
      <c r="AC12" s="91"/>
      <c r="AD12" s="143">
        <f t="shared" ref="AD12" si="77">AC12*$E12</f>
        <v>0</v>
      </c>
      <c r="AE12" s="91"/>
      <c r="AF12" s="143">
        <f t="shared" ref="AF12" si="78">AE12*$E12</f>
        <v>0</v>
      </c>
      <c r="AG12" s="91"/>
      <c r="AH12" s="143">
        <f t="shared" ref="AH12" si="79">AG12*$E12</f>
        <v>0</v>
      </c>
      <c r="AI12" s="91"/>
      <c r="AJ12" s="143">
        <f t="shared" ref="AJ12" si="80">AI12*$E12</f>
        <v>0</v>
      </c>
      <c r="AK12" s="91"/>
      <c r="AL12" s="143">
        <f t="shared" si="24"/>
        <v>0</v>
      </c>
      <c r="AM12" s="91"/>
      <c r="AN12" s="143">
        <f t="shared" si="25"/>
        <v>0</v>
      </c>
      <c r="AO12" s="91"/>
      <c r="AP12" s="143">
        <f t="shared" si="26"/>
        <v>0</v>
      </c>
      <c r="AQ12" s="91"/>
      <c r="AR12" s="143">
        <f t="shared" si="27"/>
        <v>0</v>
      </c>
      <c r="AS12" s="91"/>
      <c r="AT12" s="143">
        <f t="shared" si="28"/>
        <v>0</v>
      </c>
      <c r="AU12" s="91"/>
      <c r="AV12" s="143">
        <f t="shared" si="29"/>
        <v>0</v>
      </c>
      <c r="AW12" s="91"/>
      <c r="AX12" s="143">
        <f t="shared" si="30"/>
        <v>0</v>
      </c>
      <c r="AY12" s="46">
        <v>4</v>
      </c>
      <c r="AZ12" s="155">
        <f t="shared" si="0"/>
        <v>0</v>
      </c>
      <c r="BA12" s="143">
        <f t="shared" si="1"/>
        <v>0</v>
      </c>
      <c r="BB12" s="47">
        <v>4</v>
      </c>
      <c r="BC12" s="158">
        <f t="shared" si="2"/>
        <v>1</v>
      </c>
      <c r="BD12" s="145">
        <f t="shared" si="3"/>
        <v>8</v>
      </c>
      <c r="BE12" s="151"/>
      <c r="BF12" s="143">
        <f t="shared" si="31"/>
        <v>0</v>
      </c>
      <c r="BG12" s="151"/>
      <c r="BH12" s="143">
        <f t="shared" si="31"/>
        <v>0</v>
      </c>
      <c r="BI12" s="151"/>
      <c r="BJ12" s="143">
        <f t="shared" ref="BJ12" si="81">BI12*$E12</f>
        <v>0</v>
      </c>
      <c r="BK12" s="151"/>
      <c r="BL12" s="143">
        <f t="shared" ref="BL12" si="82">BK12*$E12</f>
        <v>0</v>
      </c>
      <c r="BM12" s="151"/>
      <c r="BN12" s="143">
        <f t="shared" ref="BN12" si="83">BM12*$E12</f>
        <v>0</v>
      </c>
      <c r="BO12" s="151"/>
      <c r="BP12" s="143">
        <f t="shared" ref="BP12" si="84">BO12*$E12</f>
        <v>0</v>
      </c>
      <c r="BQ12" s="151"/>
      <c r="BR12" s="143">
        <f t="shared" ref="BR12" si="85">BQ12*$E12</f>
        <v>0</v>
      </c>
      <c r="BS12" s="151"/>
      <c r="BT12" s="143">
        <f t="shared" ref="BT12" si="86">BS12*$E12</f>
        <v>0</v>
      </c>
      <c r="BU12" s="151"/>
      <c r="BV12" s="143">
        <f t="shared" ref="BV12" si="87">BU12*$E12</f>
        <v>0</v>
      </c>
      <c r="BW12" s="151"/>
      <c r="BX12" s="143">
        <f t="shared" ref="BX12" si="88">BW12*$E12</f>
        <v>0</v>
      </c>
      <c r="BY12" s="151"/>
      <c r="BZ12" s="143">
        <f t="shared" ref="BZ12" si="89">BY12*$E12</f>
        <v>0</v>
      </c>
      <c r="CA12" s="49">
        <v>4</v>
      </c>
      <c r="CB12" s="149">
        <f t="shared" si="41"/>
        <v>0</v>
      </c>
      <c r="CC12" s="143">
        <f t="shared" si="4"/>
        <v>0</v>
      </c>
      <c r="CD12" s="46">
        <v>4</v>
      </c>
      <c r="CE12" s="48" t="str">
        <f t="shared" si="5"/>
        <v>Pantene Keratine shampoo, 500ml</v>
      </c>
      <c r="CF12" s="174">
        <f t="shared" si="6"/>
        <v>1</v>
      </c>
      <c r="CG12" s="162" t="str">
        <f t="shared" si="7"/>
        <v>tube</v>
      </c>
      <c r="CH12" s="160">
        <f t="shared" si="8"/>
        <v>8</v>
      </c>
      <c r="CI12" s="160">
        <f t="shared" si="42"/>
        <v>8</v>
      </c>
      <c r="CJ12" s="45">
        <f t="shared" si="43"/>
        <v>6.8719999999999999</v>
      </c>
    </row>
    <row r="13" spans="1:88" s="2" customFormat="1" ht="15" x14ac:dyDescent="0.25">
      <c r="A13" s="49">
        <v>5</v>
      </c>
      <c r="B13" s="51" t="s">
        <v>23</v>
      </c>
      <c r="C13" s="52">
        <v>7</v>
      </c>
      <c r="D13" s="42" t="s">
        <v>24</v>
      </c>
      <c r="E13" s="169">
        <v>3.8</v>
      </c>
      <c r="F13" s="165">
        <f>C13*E13</f>
        <v>26.599999999999998</v>
      </c>
      <c r="G13" s="90"/>
      <c r="H13" s="143">
        <f t="shared" si="9"/>
        <v>0</v>
      </c>
      <c r="I13" s="90"/>
      <c r="J13" s="143">
        <f t="shared" ref="J13" si="90">I13*$E13</f>
        <v>0</v>
      </c>
      <c r="K13" s="90"/>
      <c r="L13" s="143">
        <f t="shared" ref="L13" si="91">K13*$E13</f>
        <v>0</v>
      </c>
      <c r="M13" s="90"/>
      <c r="N13" s="144">
        <f t="shared" ref="N13" si="92">M13*$E13</f>
        <v>0</v>
      </c>
      <c r="O13" s="90"/>
      <c r="P13" s="145">
        <f t="shared" ref="P13" si="93">O13*$E13</f>
        <v>0</v>
      </c>
      <c r="Q13" s="90"/>
      <c r="R13" s="143">
        <f t="shared" ref="R13" si="94">Q13*$E13</f>
        <v>0</v>
      </c>
      <c r="S13" s="90"/>
      <c r="T13" s="143">
        <f t="shared" ref="T13" si="95">S13*$E13</f>
        <v>0</v>
      </c>
      <c r="U13" s="108"/>
      <c r="V13" s="143">
        <f t="shared" ref="V13" si="96">U13*$E13</f>
        <v>0</v>
      </c>
      <c r="W13" s="90"/>
      <c r="X13" s="143">
        <f t="shared" ref="X13" si="97">W13*$E13</f>
        <v>0</v>
      </c>
      <c r="Y13" s="90"/>
      <c r="Z13" s="143">
        <f t="shared" ref="Z13" si="98">Y13*$E13</f>
        <v>0</v>
      </c>
      <c r="AA13" s="90"/>
      <c r="AB13" s="143">
        <f t="shared" ref="AB13" si="99">AA13*$E13</f>
        <v>0</v>
      </c>
      <c r="AC13" s="90"/>
      <c r="AD13" s="143">
        <f t="shared" ref="AD13" si="100">AC13*$E13</f>
        <v>0</v>
      </c>
      <c r="AE13" s="90"/>
      <c r="AF13" s="143">
        <f t="shared" ref="AF13" si="101">AE13*$E13</f>
        <v>0</v>
      </c>
      <c r="AG13" s="90"/>
      <c r="AH13" s="143">
        <f t="shared" ref="AH13" si="102">AG13*$E13</f>
        <v>0</v>
      </c>
      <c r="AI13" s="90"/>
      <c r="AJ13" s="143">
        <f t="shared" ref="AJ13" si="103">AI13*$E13</f>
        <v>0</v>
      </c>
      <c r="AK13" s="90"/>
      <c r="AL13" s="143">
        <f t="shared" si="24"/>
        <v>0</v>
      </c>
      <c r="AM13" s="90"/>
      <c r="AN13" s="143">
        <f t="shared" si="25"/>
        <v>0</v>
      </c>
      <c r="AO13" s="90"/>
      <c r="AP13" s="143">
        <f t="shared" si="26"/>
        <v>0</v>
      </c>
      <c r="AQ13" s="90"/>
      <c r="AR13" s="143">
        <f t="shared" si="27"/>
        <v>0</v>
      </c>
      <c r="AS13" s="90"/>
      <c r="AT13" s="143">
        <f t="shared" si="28"/>
        <v>0</v>
      </c>
      <c r="AU13" s="90"/>
      <c r="AV13" s="143">
        <f t="shared" si="29"/>
        <v>0</v>
      </c>
      <c r="AW13" s="90"/>
      <c r="AX13" s="143">
        <f t="shared" si="30"/>
        <v>0</v>
      </c>
      <c r="AY13" s="49">
        <v>5</v>
      </c>
      <c r="AZ13" s="155">
        <f t="shared" si="0"/>
        <v>0</v>
      </c>
      <c r="BA13" s="143">
        <f t="shared" si="1"/>
        <v>0</v>
      </c>
      <c r="BB13" s="50">
        <v>5</v>
      </c>
      <c r="BC13" s="158">
        <f t="shared" si="2"/>
        <v>7</v>
      </c>
      <c r="BD13" s="145">
        <f t="shared" si="3"/>
        <v>26.599999999999998</v>
      </c>
      <c r="BE13" s="151"/>
      <c r="BF13" s="143">
        <f t="shared" si="31"/>
        <v>0</v>
      </c>
      <c r="BG13" s="151"/>
      <c r="BH13" s="143">
        <f t="shared" si="31"/>
        <v>0</v>
      </c>
      <c r="BI13" s="151"/>
      <c r="BJ13" s="143">
        <f t="shared" ref="BJ13" si="104">BI13*$E13</f>
        <v>0</v>
      </c>
      <c r="BK13" s="151"/>
      <c r="BL13" s="143">
        <f t="shared" ref="BL13" si="105">BK13*$E13</f>
        <v>0</v>
      </c>
      <c r="BM13" s="151"/>
      <c r="BN13" s="143">
        <f t="shared" ref="BN13" si="106">BM13*$E13</f>
        <v>0</v>
      </c>
      <c r="BO13" s="151"/>
      <c r="BP13" s="143">
        <f t="shared" ref="BP13" si="107">BO13*$E13</f>
        <v>0</v>
      </c>
      <c r="BQ13" s="151"/>
      <c r="BR13" s="143">
        <f t="shared" ref="BR13" si="108">BQ13*$E13</f>
        <v>0</v>
      </c>
      <c r="BS13" s="151"/>
      <c r="BT13" s="143">
        <f t="shared" ref="BT13" si="109">BS13*$E13</f>
        <v>0</v>
      </c>
      <c r="BU13" s="151"/>
      <c r="BV13" s="143">
        <f t="shared" ref="BV13" si="110">BU13*$E13</f>
        <v>0</v>
      </c>
      <c r="BW13" s="151"/>
      <c r="BX13" s="143">
        <f t="shared" ref="BX13" si="111">BW13*$E13</f>
        <v>0</v>
      </c>
      <c r="BY13" s="151"/>
      <c r="BZ13" s="143">
        <f t="shared" ref="BZ13" si="112">BY13*$E13</f>
        <v>0</v>
      </c>
      <c r="CA13" s="49">
        <v>5</v>
      </c>
      <c r="CB13" s="149">
        <f t="shared" si="41"/>
        <v>0</v>
      </c>
      <c r="CC13" s="143">
        <f t="shared" si="4"/>
        <v>0</v>
      </c>
      <c r="CD13" s="49">
        <v>5</v>
      </c>
      <c r="CE13" s="48" t="str">
        <f t="shared" si="5"/>
        <v>Nivea antiperspirant, 50ml  05.26</v>
      </c>
      <c r="CF13" s="174">
        <f t="shared" si="6"/>
        <v>7</v>
      </c>
      <c r="CG13" s="162" t="str">
        <f t="shared" si="7"/>
        <v>roller</v>
      </c>
      <c r="CH13" s="160">
        <f t="shared" si="8"/>
        <v>3.8</v>
      </c>
      <c r="CI13" s="160">
        <f t="shared" si="42"/>
        <v>26.599999999999998</v>
      </c>
      <c r="CJ13" s="45">
        <f t="shared" si="43"/>
        <v>22.849399999999999</v>
      </c>
    </row>
    <row r="14" spans="1:88" ht="15" x14ac:dyDescent="0.25">
      <c r="A14" s="46">
        <v>6</v>
      </c>
      <c r="B14" s="51" t="s">
        <v>25</v>
      </c>
      <c r="C14" s="53">
        <v>8</v>
      </c>
      <c r="D14" s="42" t="s">
        <v>5</v>
      </c>
      <c r="E14" s="169">
        <v>2</v>
      </c>
      <c r="F14" s="165">
        <f t="shared" ref="F14:F22" si="113">C14*E14</f>
        <v>16</v>
      </c>
      <c r="G14" s="91"/>
      <c r="H14" s="143">
        <f t="shared" si="9"/>
        <v>0</v>
      </c>
      <c r="I14" s="91"/>
      <c r="J14" s="143">
        <f t="shared" ref="J14" si="114">I14*$E14</f>
        <v>0</v>
      </c>
      <c r="K14" s="91"/>
      <c r="L14" s="143">
        <f t="shared" ref="L14" si="115">K14*$E14</f>
        <v>0</v>
      </c>
      <c r="M14" s="90"/>
      <c r="N14" s="144">
        <f t="shared" ref="N14" si="116">M14*$E14</f>
        <v>0</v>
      </c>
      <c r="O14" s="91"/>
      <c r="P14" s="145">
        <f t="shared" ref="P14" si="117">O14*$E14</f>
        <v>0</v>
      </c>
      <c r="Q14" s="91"/>
      <c r="R14" s="143">
        <f t="shared" ref="R14" si="118">Q14*$E14</f>
        <v>0</v>
      </c>
      <c r="S14" s="91"/>
      <c r="T14" s="143">
        <f t="shared" ref="T14" si="119">S14*$E14</f>
        <v>0</v>
      </c>
      <c r="U14" s="109"/>
      <c r="V14" s="143">
        <f t="shared" ref="V14" si="120">U14*$E14</f>
        <v>0</v>
      </c>
      <c r="W14" s="91"/>
      <c r="X14" s="143">
        <f t="shared" ref="X14" si="121">W14*$E14</f>
        <v>0</v>
      </c>
      <c r="Y14" s="91"/>
      <c r="Z14" s="143">
        <f t="shared" ref="Z14" si="122">Y14*$E14</f>
        <v>0</v>
      </c>
      <c r="AA14" s="91"/>
      <c r="AB14" s="143">
        <f t="shared" ref="AB14" si="123">AA14*$E14</f>
        <v>0</v>
      </c>
      <c r="AC14" s="91"/>
      <c r="AD14" s="143">
        <f t="shared" ref="AD14" si="124">AC14*$E14</f>
        <v>0</v>
      </c>
      <c r="AE14" s="91"/>
      <c r="AF14" s="143">
        <f t="shared" ref="AF14" si="125">AE14*$E14</f>
        <v>0</v>
      </c>
      <c r="AG14" s="91"/>
      <c r="AH14" s="143">
        <f t="shared" ref="AH14" si="126">AG14*$E14</f>
        <v>0</v>
      </c>
      <c r="AI14" s="91"/>
      <c r="AJ14" s="143">
        <f t="shared" ref="AJ14" si="127">AI14*$E14</f>
        <v>0</v>
      </c>
      <c r="AK14" s="91"/>
      <c r="AL14" s="143">
        <f t="shared" si="24"/>
        <v>0</v>
      </c>
      <c r="AM14" s="91"/>
      <c r="AN14" s="143">
        <f t="shared" si="25"/>
        <v>0</v>
      </c>
      <c r="AO14" s="91"/>
      <c r="AP14" s="143">
        <f t="shared" si="26"/>
        <v>0</v>
      </c>
      <c r="AQ14" s="91"/>
      <c r="AR14" s="143">
        <f t="shared" si="27"/>
        <v>0</v>
      </c>
      <c r="AS14" s="91"/>
      <c r="AT14" s="143">
        <f t="shared" si="28"/>
        <v>0</v>
      </c>
      <c r="AU14" s="91"/>
      <c r="AV14" s="143">
        <f t="shared" si="29"/>
        <v>0</v>
      </c>
      <c r="AW14" s="91"/>
      <c r="AX14" s="143">
        <f t="shared" si="30"/>
        <v>0</v>
      </c>
      <c r="AY14" s="46">
        <v>6</v>
      </c>
      <c r="AZ14" s="155">
        <f t="shared" si="0"/>
        <v>0</v>
      </c>
      <c r="BA14" s="143">
        <f t="shared" si="1"/>
        <v>0</v>
      </c>
      <c r="BB14" s="47">
        <v>6</v>
      </c>
      <c r="BC14" s="158">
        <f t="shared" si="2"/>
        <v>8</v>
      </c>
      <c r="BD14" s="145">
        <f t="shared" si="3"/>
        <v>16</v>
      </c>
      <c r="BE14" s="151"/>
      <c r="BF14" s="143">
        <f t="shared" si="31"/>
        <v>0</v>
      </c>
      <c r="BG14" s="151"/>
      <c r="BH14" s="143">
        <f t="shared" si="31"/>
        <v>0</v>
      </c>
      <c r="BI14" s="151"/>
      <c r="BJ14" s="143">
        <f t="shared" ref="BJ14" si="128">BI14*$E14</f>
        <v>0</v>
      </c>
      <c r="BK14" s="151"/>
      <c r="BL14" s="143">
        <f t="shared" ref="BL14" si="129">BK14*$E14</f>
        <v>0</v>
      </c>
      <c r="BM14" s="151"/>
      <c r="BN14" s="143">
        <f t="shared" ref="BN14" si="130">BM14*$E14</f>
        <v>0</v>
      </c>
      <c r="BO14" s="151"/>
      <c r="BP14" s="143">
        <f t="shared" ref="BP14" si="131">BO14*$E14</f>
        <v>0</v>
      </c>
      <c r="BQ14" s="151"/>
      <c r="BR14" s="143">
        <f t="shared" ref="BR14" si="132">BQ14*$E14</f>
        <v>0</v>
      </c>
      <c r="BS14" s="151"/>
      <c r="BT14" s="143">
        <f t="shared" ref="BT14" si="133">BS14*$E14</f>
        <v>0</v>
      </c>
      <c r="BU14" s="151"/>
      <c r="BV14" s="143">
        <f t="shared" ref="BV14" si="134">BU14*$E14</f>
        <v>0</v>
      </c>
      <c r="BW14" s="151"/>
      <c r="BX14" s="143">
        <f t="shared" ref="BX14" si="135">BW14*$E14</f>
        <v>0</v>
      </c>
      <c r="BY14" s="151"/>
      <c r="BZ14" s="143">
        <f t="shared" ref="BZ14" si="136">BY14*$E14</f>
        <v>0</v>
      </c>
      <c r="CA14" s="49">
        <v>6</v>
      </c>
      <c r="CB14" s="149">
        <f t="shared" si="41"/>
        <v>0</v>
      </c>
      <c r="CC14" s="143">
        <f t="shared" si="4"/>
        <v>0</v>
      </c>
      <c r="CD14" s="46">
        <v>6</v>
      </c>
      <c r="CE14" s="48" t="str">
        <f t="shared" si="5"/>
        <v xml:space="preserve">Tooth brush </v>
      </c>
      <c r="CF14" s="174">
        <f t="shared" si="6"/>
        <v>8</v>
      </c>
      <c r="CG14" s="162" t="str">
        <f t="shared" si="7"/>
        <v>pcs</v>
      </c>
      <c r="CH14" s="160">
        <f t="shared" si="8"/>
        <v>2</v>
      </c>
      <c r="CI14" s="160">
        <f t="shared" si="42"/>
        <v>16</v>
      </c>
      <c r="CJ14" s="45">
        <f t="shared" si="43"/>
        <v>13.744</v>
      </c>
    </row>
    <row r="15" spans="1:88" ht="15" x14ac:dyDescent="0.25">
      <c r="A15" s="49">
        <v>7</v>
      </c>
      <c r="B15" s="51" t="s">
        <v>26</v>
      </c>
      <c r="C15" s="53">
        <v>30</v>
      </c>
      <c r="D15" s="42" t="s">
        <v>5</v>
      </c>
      <c r="E15" s="169">
        <v>0.5</v>
      </c>
      <c r="F15" s="165">
        <f t="shared" si="113"/>
        <v>15</v>
      </c>
      <c r="G15" s="90"/>
      <c r="H15" s="143">
        <f t="shared" si="9"/>
        <v>0</v>
      </c>
      <c r="I15" s="90"/>
      <c r="J15" s="143">
        <f t="shared" ref="J15" si="137">I15*$E15</f>
        <v>0</v>
      </c>
      <c r="K15" s="90"/>
      <c r="L15" s="143">
        <f t="shared" ref="L15" si="138">K15*$E15</f>
        <v>0</v>
      </c>
      <c r="M15" s="90"/>
      <c r="N15" s="144">
        <f t="shared" ref="N15" si="139">M15*$E15</f>
        <v>0</v>
      </c>
      <c r="O15" s="90"/>
      <c r="P15" s="145">
        <f t="shared" ref="P15" si="140">O15*$E15</f>
        <v>0</v>
      </c>
      <c r="Q15" s="90"/>
      <c r="R15" s="143">
        <f t="shared" ref="R15" si="141">Q15*$E15</f>
        <v>0</v>
      </c>
      <c r="S15" s="90"/>
      <c r="T15" s="143">
        <f t="shared" ref="T15" si="142">S15*$E15</f>
        <v>0</v>
      </c>
      <c r="U15" s="108"/>
      <c r="V15" s="143">
        <f t="shared" ref="V15" si="143">U15*$E15</f>
        <v>0</v>
      </c>
      <c r="W15" s="90"/>
      <c r="X15" s="143">
        <f t="shared" ref="X15" si="144">W15*$E15</f>
        <v>0</v>
      </c>
      <c r="Y15" s="90"/>
      <c r="Z15" s="143">
        <f t="shared" ref="Z15" si="145">Y15*$E15</f>
        <v>0</v>
      </c>
      <c r="AA15" s="90"/>
      <c r="AB15" s="143">
        <f t="shared" ref="AB15" si="146">AA15*$E15</f>
        <v>0</v>
      </c>
      <c r="AC15" s="90"/>
      <c r="AD15" s="143">
        <f t="shared" ref="AD15" si="147">AC15*$E15</f>
        <v>0</v>
      </c>
      <c r="AE15" s="90"/>
      <c r="AF15" s="143">
        <f t="shared" ref="AF15" si="148">AE15*$E15</f>
        <v>0</v>
      </c>
      <c r="AG15" s="90"/>
      <c r="AH15" s="143">
        <f t="shared" ref="AH15" si="149">AG15*$E15</f>
        <v>0</v>
      </c>
      <c r="AI15" s="90"/>
      <c r="AJ15" s="143">
        <f t="shared" ref="AJ15" si="150">AI15*$E15</f>
        <v>0</v>
      </c>
      <c r="AK15" s="90"/>
      <c r="AL15" s="143">
        <f t="shared" si="24"/>
        <v>0</v>
      </c>
      <c r="AM15" s="90"/>
      <c r="AN15" s="143">
        <f t="shared" si="25"/>
        <v>0</v>
      </c>
      <c r="AO15" s="90"/>
      <c r="AP15" s="143">
        <f t="shared" si="26"/>
        <v>0</v>
      </c>
      <c r="AQ15" s="90"/>
      <c r="AR15" s="143">
        <f t="shared" si="27"/>
        <v>0</v>
      </c>
      <c r="AS15" s="90"/>
      <c r="AT15" s="143">
        <f t="shared" si="28"/>
        <v>0</v>
      </c>
      <c r="AU15" s="90"/>
      <c r="AV15" s="143">
        <f t="shared" si="29"/>
        <v>0</v>
      </c>
      <c r="AW15" s="90"/>
      <c r="AX15" s="143">
        <f t="shared" si="30"/>
        <v>0</v>
      </c>
      <c r="AY15" s="49">
        <v>7</v>
      </c>
      <c r="AZ15" s="155">
        <f t="shared" si="0"/>
        <v>0</v>
      </c>
      <c r="BA15" s="143">
        <f t="shared" si="1"/>
        <v>0</v>
      </c>
      <c r="BB15" s="50">
        <v>7</v>
      </c>
      <c r="BC15" s="158">
        <f t="shared" si="2"/>
        <v>30</v>
      </c>
      <c r="BD15" s="145">
        <f t="shared" si="3"/>
        <v>15</v>
      </c>
      <c r="BE15" s="151"/>
      <c r="BF15" s="143">
        <f t="shared" si="31"/>
        <v>0</v>
      </c>
      <c r="BG15" s="151"/>
      <c r="BH15" s="143">
        <f t="shared" si="31"/>
        <v>0</v>
      </c>
      <c r="BI15" s="151"/>
      <c r="BJ15" s="143">
        <f t="shared" ref="BJ15" si="151">BI15*$E15</f>
        <v>0</v>
      </c>
      <c r="BK15" s="151"/>
      <c r="BL15" s="143">
        <f t="shared" ref="BL15" si="152">BK15*$E15</f>
        <v>0</v>
      </c>
      <c r="BM15" s="151"/>
      <c r="BN15" s="143">
        <f t="shared" ref="BN15" si="153">BM15*$E15</f>
        <v>0</v>
      </c>
      <c r="BO15" s="151"/>
      <c r="BP15" s="143">
        <f t="shared" ref="BP15" si="154">BO15*$E15</f>
        <v>0</v>
      </c>
      <c r="BQ15" s="151"/>
      <c r="BR15" s="143">
        <f t="shared" ref="BR15" si="155">BQ15*$E15</f>
        <v>0</v>
      </c>
      <c r="BS15" s="151"/>
      <c r="BT15" s="143">
        <f t="shared" ref="BT15" si="156">BS15*$E15</f>
        <v>0</v>
      </c>
      <c r="BU15" s="151"/>
      <c r="BV15" s="143">
        <f t="shared" ref="BV15" si="157">BU15*$E15</f>
        <v>0</v>
      </c>
      <c r="BW15" s="151"/>
      <c r="BX15" s="143">
        <f t="shared" ref="BX15" si="158">BW15*$E15</f>
        <v>0</v>
      </c>
      <c r="BY15" s="151"/>
      <c r="BZ15" s="143">
        <f t="shared" ref="BZ15" si="159">BY15*$E15</f>
        <v>0</v>
      </c>
      <c r="CA15" s="49">
        <v>7</v>
      </c>
      <c r="CB15" s="149">
        <f t="shared" si="41"/>
        <v>0</v>
      </c>
      <c r="CC15" s="143">
        <f t="shared" si="4"/>
        <v>0</v>
      </c>
      <c r="CD15" s="49">
        <v>7</v>
      </c>
      <c r="CE15" s="54" t="str">
        <f t="shared" si="5"/>
        <v>Disposable lighter</v>
      </c>
      <c r="CF15" s="174">
        <f t="shared" si="6"/>
        <v>30</v>
      </c>
      <c r="CG15" s="163" t="str">
        <f t="shared" si="7"/>
        <v>pcs</v>
      </c>
      <c r="CH15" s="160">
        <f t="shared" si="8"/>
        <v>0.5</v>
      </c>
      <c r="CI15" s="160">
        <f t="shared" si="42"/>
        <v>15</v>
      </c>
      <c r="CJ15" s="45">
        <f t="shared" si="43"/>
        <v>12.885</v>
      </c>
    </row>
    <row r="16" spans="1:88" ht="15" x14ac:dyDescent="0.25">
      <c r="A16" s="46">
        <v>8</v>
      </c>
      <c r="B16" s="51" t="s">
        <v>27</v>
      </c>
      <c r="C16" s="52">
        <v>1</v>
      </c>
      <c r="D16" s="42">
        <v>0</v>
      </c>
      <c r="E16" s="169">
        <v>0</v>
      </c>
      <c r="F16" s="165">
        <f t="shared" si="113"/>
        <v>0</v>
      </c>
      <c r="G16" s="91"/>
      <c r="H16" s="143">
        <f t="shared" si="9"/>
        <v>0</v>
      </c>
      <c r="I16" s="91"/>
      <c r="J16" s="143">
        <f t="shared" ref="J16" si="160">I16*$E16</f>
        <v>0</v>
      </c>
      <c r="K16" s="91"/>
      <c r="L16" s="143">
        <f t="shared" ref="L16" si="161">K16*$E16</f>
        <v>0</v>
      </c>
      <c r="M16" s="90"/>
      <c r="N16" s="144">
        <f t="shared" ref="N16" si="162">M16*$E16</f>
        <v>0</v>
      </c>
      <c r="O16" s="91"/>
      <c r="P16" s="145">
        <f t="shared" ref="P16" si="163">O16*$E16</f>
        <v>0</v>
      </c>
      <c r="Q16" s="91"/>
      <c r="R16" s="143">
        <f t="shared" ref="R16" si="164">Q16*$E16</f>
        <v>0</v>
      </c>
      <c r="S16" s="91"/>
      <c r="T16" s="143">
        <f t="shared" ref="T16" si="165">S16*$E16</f>
        <v>0</v>
      </c>
      <c r="U16" s="109"/>
      <c r="V16" s="143">
        <f t="shared" ref="V16" si="166">U16*$E16</f>
        <v>0</v>
      </c>
      <c r="W16" s="91"/>
      <c r="X16" s="143">
        <f t="shared" ref="X16" si="167">W16*$E16</f>
        <v>0</v>
      </c>
      <c r="Y16" s="91"/>
      <c r="Z16" s="143">
        <f t="shared" ref="Z16" si="168">Y16*$E16</f>
        <v>0</v>
      </c>
      <c r="AA16" s="91"/>
      <c r="AB16" s="143">
        <f t="shared" ref="AB16" si="169">AA16*$E16</f>
        <v>0</v>
      </c>
      <c r="AC16" s="91"/>
      <c r="AD16" s="143">
        <f t="shared" ref="AD16" si="170">AC16*$E16</f>
        <v>0</v>
      </c>
      <c r="AE16" s="91"/>
      <c r="AF16" s="143">
        <f t="shared" ref="AF16" si="171">AE16*$E16</f>
        <v>0</v>
      </c>
      <c r="AG16" s="91"/>
      <c r="AH16" s="143">
        <f t="shared" ref="AH16" si="172">AG16*$E16</f>
        <v>0</v>
      </c>
      <c r="AI16" s="91"/>
      <c r="AJ16" s="143">
        <f t="shared" ref="AJ16" si="173">AI16*$E16</f>
        <v>0</v>
      </c>
      <c r="AK16" s="91"/>
      <c r="AL16" s="143">
        <f t="shared" si="24"/>
        <v>0</v>
      </c>
      <c r="AM16" s="91"/>
      <c r="AN16" s="143">
        <f t="shared" si="25"/>
        <v>0</v>
      </c>
      <c r="AO16" s="91"/>
      <c r="AP16" s="143">
        <f t="shared" si="26"/>
        <v>0</v>
      </c>
      <c r="AQ16" s="91"/>
      <c r="AR16" s="143">
        <f t="shared" si="27"/>
        <v>0</v>
      </c>
      <c r="AS16" s="91"/>
      <c r="AT16" s="143">
        <f t="shared" si="28"/>
        <v>0</v>
      </c>
      <c r="AU16" s="91"/>
      <c r="AV16" s="143">
        <f t="shared" si="29"/>
        <v>0</v>
      </c>
      <c r="AW16" s="91"/>
      <c r="AX16" s="143">
        <f t="shared" si="30"/>
        <v>0</v>
      </c>
      <c r="AY16" s="46">
        <v>8</v>
      </c>
      <c r="AZ16" s="155">
        <f t="shared" si="0"/>
        <v>0</v>
      </c>
      <c r="BA16" s="143">
        <f t="shared" si="1"/>
        <v>0</v>
      </c>
      <c r="BB16" s="47">
        <v>8</v>
      </c>
      <c r="BC16" s="158">
        <f t="shared" si="2"/>
        <v>1</v>
      </c>
      <c r="BD16" s="145">
        <f t="shared" si="3"/>
        <v>0</v>
      </c>
      <c r="BE16" s="151"/>
      <c r="BF16" s="143">
        <f t="shared" si="31"/>
        <v>0</v>
      </c>
      <c r="BG16" s="151"/>
      <c r="BH16" s="143">
        <f t="shared" si="31"/>
        <v>0</v>
      </c>
      <c r="BI16" s="151"/>
      <c r="BJ16" s="143">
        <f t="shared" ref="BJ16" si="174">BI16*$E16</f>
        <v>0</v>
      </c>
      <c r="BK16" s="151"/>
      <c r="BL16" s="143">
        <f t="shared" ref="BL16" si="175">BK16*$E16</f>
        <v>0</v>
      </c>
      <c r="BM16" s="151"/>
      <c r="BN16" s="143">
        <f t="shared" ref="BN16" si="176">BM16*$E16</f>
        <v>0</v>
      </c>
      <c r="BO16" s="151"/>
      <c r="BP16" s="143">
        <f t="shared" ref="BP16" si="177">BO16*$E16</f>
        <v>0</v>
      </c>
      <c r="BQ16" s="151"/>
      <c r="BR16" s="143">
        <f t="shared" ref="BR16" si="178">BQ16*$E16</f>
        <v>0</v>
      </c>
      <c r="BS16" s="151"/>
      <c r="BT16" s="143">
        <f t="shared" ref="BT16" si="179">BS16*$E16</f>
        <v>0</v>
      </c>
      <c r="BU16" s="151"/>
      <c r="BV16" s="143">
        <f t="shared" ref="BV16" si="180">BU16*$E16</f>
        <v>0</v>
      </c>
      <c r="BW16" s="151"/>
      <c r="BX16" s="143">
        <f t="shared" ref="BX16" si="181">BW16*$E16</f>
        <v>0</v>
      </c>
      <c r="BY16" s="151"/>
      <c r="BZ16" s="143">
        <f t="shared" ref="BZ16" si="182">BY16*$E16</f>
        <v>0</v>
      </c>
      <c r="CA16" s="49">
        <v>8</v>
      </c>
      <c r="CB16" s="149">
        <f t="shared" si="41"/>
        <v>0</v>
      </c>
      <c r="CC16" s="143">
        <f t="shared" si="4"/>
        <v>0</v>
      </c>
      <c r="CD16" s="46">
        <v>8</v>
      </c>
      <c r="CE16" s="54" t="str">
        <f t="shared" si="5"/>
        <v>Antwerp</v>
      </c>
      <c r="CF16" s="174">
        <f t="shared" si="6"/>
        <v>1</v>
      </c>
      <c r="CG16" s="163">
        <f t="shared" si="7"/>
        <v>0</v>
      </c>
      <c r="CH16" s="160">
        <f t="shared" si="8"/>
        <v>0</v>
      </c>
      <c r="CI16" s="160">
        <f t="shared" si="42"/>
        <v>0</v>
      </c>
      <c r="CJ16" s="45">
        <f t="shared" si="43"/>
        <v>0</v>
      </c>
    </row>
    <row r="17" spans="1:88" ht="15" x14ac:dyDescent="0.25">
      <c r="A17" s="49">
        <v>9</v>
      </c>
      <c r="B17" s="51" t="s">
        <v>28</v>
      </c>
      <c r="C17" s="92">
        <v>4</v>
      </c>
      <c r="D17" s="42" t="s">
        <v>29</v>
      </c>
      <c r="E17" s="169">
        <v>24</v>
      </c>
      <c r="F17" s="165">
        <f t="shared" si="113"/>
        <v>96</v>
      </c>
      <c r="G17" s="90"/>
      <c r="H17" s="143">
        <f t="shared" si="9"/>
        <v>0</v>
      </c>
      <c r="I17" s="90"/>
      <c r="J17" s="143">
        <f t="shared" ref="J17" si="183">I17*$E17</f>
        <v>0</v>
      </c>
      <c r="K17" s="90"/>
      <c r="L17" s="143">
        <f t="shared" ref="L17" si="184">K17*$E17</f>
        <v>0</v>
      </c>
      <c r="M17" s="90"/>
      <c r="N17" s="144">
        <f t="shared" ref="N17" si="185">M17*$E17</f>
        <v>0</v>
      </c>
      <c r="O17" s="90"/>
      <c r="P17" s="145">
        <f t="shared" ref="P17" si="186">O17*$E17</f>
        <v>0</v>
      </c>
      <c r="Q17" s="90"/>
      <c r="R17" s="143">
        <f t="shared" ref="R17" si="187">Q17*$E17</f>
        <v>0</v>
      </c>
      <c r="S17" s="90"/>
      <c r="T17" s="143">
        <f t="shared" ref="T17" si="188">S17*$E17</f>
        <v>0</v>
      </c>
      <c r="U17" s="108"/>
      <c r="V17" s="143">
        <f t="shared" ref="V17" si="189">U17*$E17</f>
        <v>0</v>
      </c>
      <c r="W17" s="90"/>
      <c r="X17" s="143">
        <f t="shared" ref="X17" si="190">W17*$E17</f>
        <v>0</v>
      </c>
      <c r="Y17" s="90"/>
      <c r="Z17" s="143">
        <f t="shared" ref="Z17" si="191">Y17*$E17</f>
        <v>0</v>
      </c>
      <c r="AA17" s="90"/>
      <c r="AB17" s="143">
        <f t="shared" ref="AB17" si="192">AA17*$E17</f>
        <v>0</v>
      </c>
      <c r="AC17" s="90"/>
      <c r="AD17" s="143">
        <f t="shared" ref="AD17" si="193">AC17*$E17</f>
        <v>0</v>
      </c>
      <c r="AE17" s="90"/>
      <c r="AF17" s="143">
        <f t="shared" ref="AF17" si="194">AE17*$E17</f>
        <v>0</v>
      </c>
      <c r="AG17" s="90"/>
      <c r="AH17" s="143">
        <f t="shared" ref="AH17" si="195">AG17*$E17</f>
        <v>0</v>
      </c>
      <c r="AI17" s="90"/>
      <c r="AJ17" s="143">
        <f t="shared" ref="AJ17" si="196">AI17*$E17</f>
        <v>0</v>
      </c>
      <c r="AK17" s="90"/>
      <c r="AL17" s="143">
        <f t="shared" si="24"/>
        <v>0</v>
      </c>
      <c r="AM17" s="90"/>
      <c r="AN17" s="143">
        <f t="shared" si="25"/>
        <v>0</v>
      </c>
      <c r="AO17" s="90"/>
      <c r="AP17" s="143">
        <f t="shared" si="26"/>
        <v>0</v>
      </c>
      <c r="AQ17" s="90"/>
      <c r="AR17" s="143">
        <f t="shared" si="27"/>
        <v>0</v>
      </c>
      <c r="AS17" s="90"/>
      <c r="AT17" s="143">
        <f t="shared" si="28"/>
        <v>0</v>
      </c>
      <c r="AU17" s="90"/>
      <c r="AV17" s="143">
        <f t="shared" si="29"/>
        <v>0</v>
      </c>
      <c r="AW17" s="90"/>
      <c r="AX17" s="143">
        <f t="shared" si="30"/>
        <v>0</v>
      </c>
      <c r="AY17" s="49">
        <v>9</v>
      </c>
      <c r="AZ17" s="155">
        <f t="shared" si="0"/>
        <v>0</v>
      </c>
      <c r="BA17" s="143">
        <f t="shared" si="1"/>
        <v>0</v>
      </c>
      <c r="BB17" s="50">
        <v>9</v>
      </c>
      <c r="BC17" s="158">
        <f t="shared" si="2"/>
        <v>4</v>
      </c>
      <c r="BD17" s="145">
        <f t="shared" si="3"/>
        <v>96</v>
      </c>
      <c r="BE17" s="151"/>
      <c r="BF17" s="143">
        <f t="shared" si="31"/>
        <v>0</v>
      </c>
      <c r="BG17" s="151"/>
      <c r="BH17" s="143">
        <f t="shared" si="31"/>
        <v>0</v>
      </c>
      <c r="BI17" s="151"/>
      <c r="BJ17" s="143">
        <f t="shared" ref="BJ17" si="197">BI17*$E17</f>
        <v>0</v>
      </c>
      <c r="BK17" s="151"/>
      <c r="BL17" s="143">
        <f t="shared" ref="BL17" si="198">BK17*$E17</f>
        <v>0</v>
      </c>
      <c r="BM17" s="151"/>
      <c r="BN17" s="143">
        <f t="shared" ref="BN17" si="199">BM17*$E17</f>
        <v>0</v>
      </c>
      <c r="BO17" s="151"/>
      <c r="BP17" s="143">
        <f t="shared" ref="BP17" si="200">BO17*$E17</f>
        <v>0</v>
      </c>
      <c r="BQ17" s="151"/>
      <c r="BR17" s="143">
        <f t="shared" ref="BR17" si="201">BQ17*$E17</f>
        <v>0</v>
      </c>
      <c r="BS17" s="151"/>
      <c r="BT17" s="143">
        <f t="shared" ref="BT17" si="202">BS17*$E17</f>
        <v>0</v>
      </c>
      <c r="BU17" s="151"/>
      <c r="BV17" s="143">
        <f t="shared" ref="BV17" si="203">BU17*$E17</f>
        <v>0</v>
      </c>
      <c r="BW17" s="151"/>
      <c r="BX17" s="143">
        <f t="shared" ref="BX17" si="204">BW17*$E17</f>
        <v>0</v>
      </c>
      <c r="BY17" s="151"/>
      <c r="BZ17" s="143">
        <f t="shared" ref="BZ17" si="205">BY17*$E17</f>
        <v>0</v>
      </c>
      <c r="CA17" s="49">
        <v>9</v>
      </c>
      <c r="CB17" s="149">
        <f t="shared" si="41"/>
        <v>0</v>
      </c>
      <c r="CC17" s="143">
        <f t="shared" si="4"/>
        <v>0</v>
      </c>
      <c r="CD17" s="49">
        <v>9</v>
      </c>
      <c r="CE17" s="54" t="str">
        <f t="shared" si="5"/>
        <v>FANTA ORANGE 24X33 CL TIN</v>
      </c>
      <c r="CF17" s="174">
        <f t="shared" si="6"/>
        <v>4</v>
      </c>
      <c r="CG17" s="163" t="str">
        <f t="shared" si="7"/>
        <v>Case</v>
      </c>
      <c r="CH17" s="160">
        <f t="shared" si="8"/>
        <v>24</v>
      </c>
      <c r="CI17" s="160">
        <f t="shared" si="42"/>
        <v>96</v>
      </c>
      <c r="CJ17" s="45">
        <f t="shared" si="43"/>
        <v>82.463999999999999</v>
      </c>
    </row>
    <row r="18" spans="1:88" ht="15" x14ac:dyDescent="0.25">
      <c r="A18" s="46">
        <v>10</v>
      </c>
      <c r="B18" s="51" t="s">
        <v>30</v>
      </c>
      <c r="C18" s="52">
        <v>1</v>
      </c>
      <c r="D18" s="42" t="s">
        <v>29</v>
      </c>
      <c r="E18" s="169">
        <v>17.600000000000001</v>
      </c>
      <c r="F18" s="165">
        <f t="shared" si="113"/>
        <v>17.600000000000001</v>
      </c>
      <c r="G18" s="91"/>
      <c r="H18" s="143">
        <f t="shared" si="9"/>
        <v>0</v>
      </c>
      <c r="I18" s="91"/>
      <c r="J18" s="143">
        <f t="shared" ref="J18" si="206">I18*$E18</f>
        <v>0</v>
      </c>
      <c r="K18" s="90"/>
      <c r="L18" s="143">
        <f t="shared" ref="L18" si="207">K18*$E18</f>
        <v>0</v>
      </c>
      <c r="M18" s="90"/>
      <c r="N18" s="144">
        <f t="shared" ref="N18" si="208">M18*$E18</f>
        <v>0</v>
      </c>
      <c r="O18" s="90"/>
      <c r="P18" s="145">
        <f t="shared" ref="P18" si="209">O18*$E18</f>
        <v>0</v>
      </c>
      <c r="Q18" s="91"/>
      <c r="R18" s="143">
        <f t="shared" ref="R18" si="210">Q18*$E18</f>
        <v>0</v>
      </c>
      <c r="S18" s="90"/>
      <c r="T18" s="143">
        <f t="shared" ref="T18" si="211">S18*$E18</f>
        <v>0</v>
      </c>
      <c r="U18" s="108"/>
      <c r="V18" s="143">
        <f t="shared" ref="V18" si="212">U18*$E18</f>
        <v>0</v>
      </c>
      <c r="W18" s="91"/>
      <c r="X18" s="143">
        <f t="shared" ref="X18" si="213">W18*$E18</f>
        <v>0</v>
      </c>
      <c r="Y18" s="90"/>
      <c r="Z18" s="143">
        <f t="shared" ref="Z18" si="214">Y18*$E18</f>
        <v>0</v>
      </c>
      <c r="AA18" s="91"/>
      <c r="AB18" s="143">
        <f t="shared" ref="AB18" si="215">AA18*$E18</f>
        <v>0</v>
      </c>
      <c r="AC18" s="90"/>
      <c r="AD18" s="143">
        <f t="shared" ref="AD18" si="216">AC18*$E18</f>
        <v>0</v>
      </c>
      <c r="AE18" s="90"/>
      <c r="AF18" s="143">
        <f t="shared" ref="AF18" si="217">AE18*$E18</f>
        <v>0</v>
      </c>
      <c r="AG18" s="90"/>
      <c r="AH18" s="143">
        <f t="shared" ref="AH18" si="218">AG18*$E18</f>
        <v>0</v>
      </c>
      <c r="AI18" s="91"/>
      <c r="AJ18" s="143">
        <f t="shared" ref="AJ18" si="219">AI18*$E18</f>
        <v>0</v>
      </c>
      <c r="AK18" s="91"/>
      <c r="AL18" s="143">
        <f t="shared" si="24"/>
        <v>0</v>
      </c>
      <c r="AM18" s="91"/>
      <c r="AN18" s="143">
        <f t="shared" si="25"/>
        <v>0</v>
      </c>
      <c r="AO18" s="91"/>
      <c r="AP18" s="143">
        <f t="shared" si="26"/>
        <v>0</v>
      </c>
      <c r="AQ18" s="91"/>
      <c r="AR18" s="143">
        <f t="shared" si="27"/>
        <v>0</v>
      </c>
      <c r="AS18" s="91"/>
      <c r="AT18" s="143">
        <f t="shared" si="28"/>
        <v>0</v>
      </c>
      <c r="AU18" s="91"/>
      <c r="AV18" s="143">
        <f t="shared" si="29"/>
        <v>0</v>
      </c>
      <c r="AW18" s="91"/>
      <c r="AX18" s="143">
        <f t="shared" si="30"/>
        <v>0</v>
      </c>
      <c r="AY18" s="46">
        <v>10</v>
      </c>
      <c r="AZ18" s="155">
        <f t="shared" si="0"/>
        <v>0</v>
      </c>
      <c r="BA18" s="143">
        <f t="shared" si="1"/>
        <v>0</v>
      </c>
      <c r="BB18" s="47">
        <v>10</v>
      </c>
      <c r="BC18" s="158">
        <f t="shared" si="2"/>
        <v>1</v>
      </c>
      <c r="BD18" s="145">
        <f t="shared" si="3"/>
        <v>17.600000000000001</v>
      </c>
      <c r="BE18" s="151"/>
      <c r="BF18" s="143">
        <f t="shared" si="31"/>
        <v>0</v>
      </c>
      <c r="BG18" s="151"/>
      <c r="BH18" s="143">
        <f t="shared" si="31"/>
        <v>0</v>
      </c>
      <c r="BI18" s="151"/>
      <c r="BJ18" s="143">
        <f t="shared" ref="BJ18" si="220">BI18*$E18</f>
        <v>0</v>
      </c>
      <c r="BK18" s="151"/>
      <c r="BL18" s="143">
        <f t="shared" ref="BL18" si="221">BK18*$E18</f>
        <v>0</v>
      </c>
      <c r="BM18" s="151"/>
      <c r="BN18" s="143">
        <f t="shared" ref="BN18" si="222">BM18*$E18</f>
        <v>0</v>
      </c>
      <c r="BO18" s="151"/>
      <c r="BP18" s="143">
        <f t="shared" ref="BP18" si="223">BO18*$E18</f>
        <v>0</v>
      </c>
      <c r="BQ18" s="151"/>
      <c r="BR18" s="143">
        <f t="shared" ref="BR18" si="224">BQ18*$E18</f>
        <v>0</v>
      </c>
      <c r="BS18" s="151"/>
      <c r="BT18" s="143">
        <f t="shared" ref="BT18" si="225">BS18*$E18</f>
        <v>0</v>
      </c>
      <c r="BU18" s="151"/>
      <c r="BV18" s="143">
        <f t="shared" ref="BV18" si="226">BU18*$E18</f>
        <v>0</v>
      </c>
      <c r="BW18" s="151"/>
      <c r="BX18" s="143">
        <f t="shared" ref="BX18" si="227">BW18*$E18</f>
        <v>0</v>
      </c>
      <c r="BY18" s="151"/>
      <c r="BZ18" s="143">
        <f t="shared" ref="BZ18" si="228">BY18*$E18</f>
        <v>0</v>
      </c>
      <c r="CA18" s="49">
        <v>11</v>
      </c>
      <c r="CB18" s="149">
        <f t="shared" si="41"/>
        <v>0</v>
      </c>
      <c r="CC18" s="143">
        <f t="shared" si="4"/>
        <v>0</v>
      </c>
      <c r="CD18" s="46">
        <v>10</v>
      </c>
      <c r="CE18" s="48" t="str">
        <f t="shared" si="5"/>
        <v>PEPSI COLA 24X33 CL TIN</v>
      </c>
      <c r="CF18" s="174">
        <f t="shared" si="6"/>
        <v>1</v>
      </c>
      <c r="CG18" s="162" t="str">
        <f t="shared" si="7"/>
        <v>Case</v>
      </c>
      <c r="CH18" s="160">
        <f t="shared" si="8"/>
        <v>17.600000000000001</v>
      </c>
      <c r="CI18" s="160">
        <f t="shared" si="42"/>
        <v>17.600000000000001</v>
      </c>
      <c r="CJ18" s="45">
        <f t="shared" si="43"/>
        <v>15.118400000000001</v>
      </c>
    </row>
    <row r="19" spans="1:88" ht="15" x14ac:dyDescent="0.25">
      <c r="A19" s="49">
        <v>11</v>
      </c>
      <c r="B19" s="51" t="s">
        <v>32</v>
      </c>
      <c r="C19" s="53">
        <v>18</v>
      </c>
      <c r="D19" s="42" t="s">
        <v>5</v>
      </c>
      <c r="E19" s="169">
        <v>1</v>
      </c>
      <c r="F19" s="165">
        <f t="shared" si="113"/>
        <v>18</v>
      </c>
      <c r="G19" s="90"/>
      <c r="H19" s="143">
        <f t="shared" si="9"/>
        <v>0</v>
      </c>
      <c r="I19" s="90"/>
      <c r="J19" s="143">
        <f t="shared" ref="J19" si="229">I19*$E19</f>
        <v>0</v>
      </c>
      <c r="K19" s="91"/>
      <c r="L19" s="143">
        <f t="shared" ref="L19" si="230">K19*$E19</f>
        <v>0</v>
      </c>
      <c r="M19" s="90"/>
      <c r="N19" s="144">
        <f t="shared" ref="N19" si="231">M19*$E19</f>
        <v>0</v>
      </c>
      <c r="O19" s="91"/>
      <c r="P19" s="145">
        <f t="shared" ref="P19" si="232">O19*$E19</f>
        <v>0</v>
      </c>
      <c r="Q19" s="90"/>
      <c r="R19" s="143">
        <f t="shared" ref="R19" si="233">Q19*$E19</f>
        <v>0</v>
      </c>
      <c r="S19" s="91"/>
      <c r="T19" s="143">
        <f t="shared" ref="T19" si="234">S19*$E19</f>
        <v>0</v>
      </c>
      <c r="U19" s="109"/>
      <c r="V19" s="143">
        <f t="shared" ref="V19" si="235">U19*$E19</f>
        <v>0</v>
      </c>
      <c r="W19" s="90"/>
      <c r="X19" s="143">
        <f t="shared" ref="X19" si="236">W19*$E19</f>
        <v>0</v>
      </c>
      <c r="Y19" s="91"/>
      <c r="Z19" s="143">
        <f t="shared" ref="Z19" si="237">Y19*$E19</f>
        <v>0</v>
      </c>
      <c r="AA19" s="90"/>
      <c r="AB19" s="143">
        <f t="shared" ref="AB19" si="238">AA19*$E19</f>
        <v>0</v>
      </c>
      <c r="AC19" s="91"/>
      <c r="AD19" s="143">
        <f t="shared" ref="AD19" si="239">AC19*$E19</f>
        <v>0</v>
      </c>
      <c r="AE19" s="91"/>
      <c r="AF19" s="143">
        <f t="shared" ref="AF19" si="240">AE19*$E19</f>
        <v>0</v>
      </c>
      <c r="AG19" s="91"/>
      <c r="AH19" s="143">
        <f t="shared" ref="AH19" si="241">AG19*$E19</f>
        <v>0</v>
      </c>
      <c r="AI19" s="90"/>
      <c r="AJ19" s="143">
        <f t="shared" ref="AJ19" si="242">AI19*$E19</f>
        <v>0</v>
      </c>
      <c r="AK19" s="90"/>
      <c r="AL19" s="143">
        <f t="shared" si="24"/>
        <v>0</v>
      </c>
      <c r="AM19" s="90"/>
      <c r="AN19" s="143">
        <f t="shared" si="25"/>
        <v>0</v>
      </c>
      <c r="AO19" s="90"/>
      <c r="AP19" s="143">
        <f t="shared" si="26"/>
        <v>0</v>
      </c>
      <c r="AQ19" s="90"/>
      <c r="AR19" s="143">
        <f t="shared" si="27"/>
        <v>0</v>
      </c>
      <c r="AS19" s="90"/>
      <c r="AT19" s="143">
        <f t="shared" si="28"/>
        <v>0</v>
      </c>
      <c r="AU19" s="90"/>
      <c r="AV19" s="143">
        <f t="shared" si="29"/>
        <v>0</v>
      </c>
      <c r="AW19" s="90"/>
      <c r="AX19" s="143">
        <f t="shared" si="30"/>
        <v>0</v>
      </c>
      <c r="AY19" s="49">
        <v>11</v>
      </c>
      <c r="AZ19" s="155">
        <f t="shared" si="0"/>
        <v>0</v>
      </c>
      <c r="BA19" s="143">
        <f t="shared" si="1"/>
        <v>0</v>
      </c>
      <c r="BB19" s="50">
        <v>11</v>
      </c>
      <c r="BC19" s="158">
        <f t="shared" si="2"/>
        <v>18</v>
      </c>
      <c r="BD19" s="145">
        <f t="shared" si="3"/>
        <v>18</v>
      </c>
      <c r="BE19" s="151"/>
      <c r="BF19" s="143">
        <f t="shared" si="31"/>
        <v>0</v>
      </c>
      <c r="BG19" s="151"/>
      <c r="BH19" s="143">
        <f t="shared" si="31"/>
        <v>0</v>
      </c>
      <c r="BI19" s="151"/>
      <c r="BJ19" s="143">
        <f t="shared" ref="BJ19" si="243">BI19*$E19</f>
        <v>0</v>
      </c>
      <c r="BK19" s="151"/>
      <c r="BL19" s="143">
        <f t="shared" ref="BL19" si="244">BK19*$E19</f>
        <v>0</v>
      </c>
      <c r="BM19" s="151"/>
      <c r="BN19" s="143">
        <f t="shared" ref="BN19" si="245">BM19*$E19</f>
        <v>0</v>
      </c>
      <c r="BO19" s="151"/>
      <c r="BP19" s="143">
        <f t="shared" ref="BP19" si="246">BO19*$E19</f>
        <v>0</v>
      </c>
      <c r="BQ19" s="151"/>
      <c r="BR19" s="143">
        <f t="shared" ref="BR19" si="247">BQ19*$E19</f>
        <v>0</v>
      </c>
      <c r="BS19" s="151"/>
      <c r="BT19" s="143">
        <f t="shared" ref="BT19" si="248">BS19*$E19</f>
        <v>0</v>
      </c>
      <c r="BU19" s="151"/>
      <c r="BV19" s="143">
        <f t="shared" ref="BV19" si="249">BU19*$E19</f>
        <v>0</v>
      </c>
      <c r="BW19" s="151"/>
      <c r="BX19" s="143">
        <f t="shared" ref="BX19" si="250">BW19*$E19</f>
        <v>0</v>
      </c>
      <c r="BY19" s="151"/>
      <c r="BZ19" s="143">
        <f t="shared" ref="BZ19" si="251">BY19*$E19</f>
        <v>0</v>
      </c>
      <c r="CA19" s="49">
        <v>12</v>
      </c>
      <c r="CB19" s="149">
        <f t="shared" si="41"/>
        <v>0</v>
      </c>
      <c r="CC19" s="143">
        <f t="shared" si="4"/>
        <v>0</v>
      </c>
      <c r="CD19" s="49">
        <v>11</v>
      </c>
      <c r="CE19" s="48" t="str">
        <f t="shared" si="5"/>
        <v>BOUNTY - 24 X 57 GR</v>
      </c>
      <c r="CF19" s="174">
        <f t="shared" si="6"/>
        <v>18</v>
      </c>
      <c r="CG19" s="162" t="str">
        <f t="shared" si="7"/>
        <v>pcs</v>
      </c>
      <c r="CH19" s="160">
        <f t="shared" si="8"/>
        <v>1</v>
      </c>
      <c r="CI19" s="160">
        <f t="shared" si="42"/>
        <v>18</v>
      </c>
      <c r="CJ19" s="45">
        <f t="shared" si="43"/>
        <v>15.462</v>
      </c>
    </row>
    <row r="20" spans="1:88" ht="15" x14ac:dyDescent="0.25">
      <c r="A20" s="46">
        <v>12</v>
      </c>
      <c r="B20" s="51" t="s">
        <v>33</v>
      </c>
      <c r="C20" s="53">
        <v>37</v>
      </c>
      <c r="D20" s="42" t="s">
        <v>5</v>
      </c>
      <c r="E20" s="170">
        <v>1</v>
      </c>
      <c r="F20" s="166">
        <f t="shared" si="113"/>
        <v>37</v>
      </c>
      <c r="G20" s="91"/>
      <c r="H20" s="143">
        <f t="shared" si="9"/>
        <v>0</v>
      </c>
      <c r="I20" s="91"/>
      <c r="J20" s="143">
        <f t="shared" ref="J20" si="252">I20*$E20</f>
        <v>0</v>
      </c>
      <c r="K20" s="90"/>
      <c r="L20" s="143">
        <f t="shared" ref="L20" si="253">K20*$E20</f>
        <v>0</v>
      </c>
      <c r="M20" s="90"/>
      <c r="N20" s="144">
        <f t="shared" ref="N20" si="254">M20*$E20</f>
        <v>0</v>
      </c>
      <c r="O20" s="90"/>
      <c r="P20" s="145">
        <f t="shared" ref="P20" si="255">O20*$E20</f>
        <v>0</v>
      </c>
      <c r="Q20" s="91"/>
      <c r="R20" s="143">
        <f t="shared" ref="R20" si="256">Q20*$E20</f>
        <v>0</v>
      </c>
      <c r="S20" s="90"/>
      <c r="T20" s="143">
        <f t="shared" ref="T20" si="257">S20*$E20</f>
        <v>0</v>
      </c>
      <c r="U20" s="108"/>
      <c r="V20" s="143">
        <f t="shared" ref="V20" si="258">U20*$E20</f>
        <v>0</v>
      </c>
      <c r="W20" s="91"/>
      <c r="X20" s="143">
        <f t="shared" ref="X20" si="259">W20*$E20</f>
        <v>0</v>
      </c>
      <c r="Y20" s="90"/>
      <c r="Z20" s="143">
        <f t="shared" ref="Z20" si="260">Y20*$E20</f>
        <v>0</v>
      </c>
      <c r="AA20" s="91"/>
      <c r="AB20" s="143">
        <f t="shared" ref="AB20" si="261">AA20*$E20</f>
        <v>0</v>
      </c>
      <c r="AC20" s="90"/>
      <c r="AD20" s="143">
        <f t="shared" ref="AD20" si="262">AC20*$E20</f>
        <v>0</v>
      </c>
      <c r="AE20" s="90"/>
      <c r="AF20" s="143">
        <f t="shared" ref="AF20" si="263">AE20*$E20</f>
        <v>0</v>
      </c>
      <c r="AG20" s="90"/>
      <c r="AH20" s="143">
        <f t="shared" ref="AH20" si="264">AG20*$E20</f>
        <v>0</v>
      </c>
      <c r="AI20" s="91"/>
      <c r="AJ20" s="143">
        <f t="shared" ref="AJ20" si="265">AI20*$E20</f>
        <v>0</v>
      </c>
      <c r="AK20" s="91"/>
      <c r="AL20" s="143">
        <f t="shared" si="24"/>
        <v>0</v>
      </c>
      <c r="AM20" s="91"/>
      <c r="AN20" s="143">
        <f t="shared" si="25"/>
        <v>0</v>
      </c>
      <c r="AO20" s="91"/>
      <c r="AP20" s="143">
        <f t="shared" si="26"/>
        <v>0</v>
      </c>
      <c r="AQ20" s="91"/>
      <c r="AR20" s="143">
        <f t="shared" si="27"/>
        <v>0</v>
      </c>
      <c r="AS20" s="91"/>
      <c r="AT20" s="143">
        <f t="shared" si="28"/>
        <v>0</v>
      </c>
      <c r="AU20" s="91"/>
      <c r="AV20" s="143">
        <f t="shared" si="29"/>
        <v>0</v>
      </c>
      <c r="AW20" s="91"/>
      <c r="AX20" s="143">
        <f t="shared" si="30"/>
        <v>0</v>
      </c>
      <c r="AY20" s="46">
        <v>12</v>
      </c>
      <c r="AZ20" s="155">
        <f t="shared" si="0"/>
        <v>0</v>
      </c>
      <c r="BA20" s="143">
        <f t="shared" si="1"/>
        <v>0</v>
      </c>
      <c r="BB20" s="47">
        <v>12</v>
      </c>
      <c r="BC20" s="158">
        <f t="shared" si="2"/>
        <v>37</v>
      </c>
      <c r="BD20" s="145">
        <f t="shared" si="3"/>
        <v>37</v>
      </c>
      <c r="BE20" s="151"/>
      <c r="BF20" s="143">
        <f t="shared" si="31"/>
        <v>0</v>
      </c>
      <c r="BG20" s="151"/>
      <c r="BH20" s="143">
        <f t="shared" si="31"/>
        <v>0</v>
      </c>
      <c r="BI20" s="151"/>
      <c r="BJ20" s="143">
        <f t="shared" ref="BJ20" si="266">BI20*$E20</f>
        <v>0</v>
      </c>
      <c r="BK20" s="151"/>
      <c r="BL20" s="143">
        <f t="shared" ref="BL20" si="267">BK20*$E20</f>
        <v>0</v>
      </c>
      <c r="BM20" s="151"/>
      <c r="BN20" s="143">
        <f t="shared" ref="BN20" si="268">BM20*$E20</f>
        <v>0</v>
      </c>
      <c r="BO20" s="151"/>
      <c r="BP20" s="143">
        <f t="shared" ref="BP20" si="269">BO20*$E20</f>
        <v>0</v>
      </c>
      <c r="BQ20" s="151"/>
      <c r="BR20" s="143">
        <f t="shared" ref="BR20" si="270">BQ20*$E20</f>
        <v>0</v>
      </c>
      <c r="BS20" s="151"/>
      <c r="BT20" s="143">
        <f t="shared" ref="BT20" si="271">BS20*$E20</f>
        <v>0</v>
      </c>
      <c r="BU20" s="151"/>
      <c r="BV20" s="143">
        <f t="shared" ref="BV20" si="272">BU20*$E20</f>
        <v>0</v>
      </c>
      <c r="BW20" s="151"/>
      <c r="BX20" s="143">
        <f t="shared" ref="BX20" si="273">BW20*$E20</f>
        <v>0</v>
      </c>
      <c r="BY20" s="151"/>
      <c r="BZ20" s="143">
        <f t="shared" ref="BZ20" si="274">BY20*$E20</f>
        <v>0</v>
      </c>
      <c r="CA20" s="49">
        <v>13</v>
      </c>
      <c r="CB20" s="149">
        <f t="shared" si="41"/>
        <v>0</v>
      </c>
      <c r="CC20" s="143">
        <f t="shared" si="4"/>
        <v>0</v>
      </c>
      <c r="CD20" s="46">
        <v>12</v>
      </c>
      <c r="CE20" s="54" t="str">
        <f t="shared" si="5"/>
        <v>MARS - 24 X 51 GR</v>
      </c>
      <c r="CF20" s="174">
        <f t="shared" si="6"/>
        <v>37</v>
      </c>
      <c r="CG20" s="163" t="str">
        <f t="shared" si="7"/>
        <v>pcs</v>
      </c>
      <c r="CH20" s="160">
        <f t="shared" si="8"/>
        <v>1</v>
      </c>
      <c r="CI20" s="160">
        <f t="shared" si="42"/>
        <v>37</v>
      </c>
      <c r="CJ20" s="45">
        <f t="shared" si="43"/>
        <v>31.783000000000001</v>
      </c>
    </row>
    <row r="21" spans="1:88" ht="15" x14ac:dyDescent="0.25">
      <c r="A21" s="49">
        <v>13</v>
      </c>
      <c r="B21" s="51" t="s">
        <v>34</v>
      </c>
      <c r="C21" s="53">
        <v>12</v>
      </c>
      <c r="D21" s="42" t="s">
        <v>5</v>
      </c>
      <c r="E21" s="170">
        <v>1</v>
      </c>
      <c r="F21" s="165">
        <f t="shared" si="113"/>
        <v>12</v>
      </c>
      <c r="G21" s="90"/>
      <c r="H21" s="143">
        <f t="shared" si="9"/>
        <v>0</v>
      </c>
      <c r="I21" s="90"/>
      <c r="J21" s="143">
        <f t="shared" ref="J21" si="275">I21*$E21</f>
        <v>0</v>
      </c>
      <c r="K21" s="91"/>
      <c r="L21" s="143">
        <f t="shared" ref="L21" si="276">K21*$E21</f>
        <v>0</v>
      </c>
      <c r="M21" s="90"/>
      <c r="N21" s="144">
        <f t="shared" ref="N21" si="277">M21*$E21</f>
        <v>0</v>
      </c>
      <c r="O21" s="91"/>
      <c r="P21" s="145">
        <f t="shared" ref="P21" si="278">O21*$E21</f>
        <v>0</v>
      </c>
      <c r="Q21" s="90"/>
      <c r="R21" s="143">
        <f t="shared" ref="R21" si="279">Q21*$E21</f>
        <v>0</v>
      </c>
      <c r="S21" s="91"/>
      <c r="T21" s="143">
        <f t="shared" ref="T21" si="280">S21*$E21</f>
        <v>0</v>
      </c>
      <c r="U21" s="109"/>
      <c r="V21" s="143">
        <f t="shared" ref="V21" si="281">U21*$E21</f>
        <v>0</v>
      </c>
      <c r="W21" s="90"/>
      <c r="X21" s="143">
        <f t="shared" ref="X21" si="282">W21*$E21</f>
        <v>0</v>
      </c>
      <c r="Y21" s="91"/>
      <c r="Z21" s="143">
        <f t="shared" ref="Z21" si="283">Y21*$E21</f>
        <v>0</v>
      </c>
      <c r="AA21" s="90"/>
      <c r="AB21" s="143">
        <f t="shared" ref="AB21" si="284">AA21*$E21</f>
        <v>0</v>
      </c>
      <c r="AC21" s="91"/>
      <c r="AD21" s="143">
        <f t="shared" ref="AD21" si="285">AC21*$E21</f>
        <v>0</v>
      </c>
      <c r="AE21" s="91"/>
      <c r="AF21" s="143">
        <f t="shared" ref="AF21" si="286">AE21*$E21</f>
        <v>0</v>
      </c>
      <c r="AG21" s="91"/>
      <c r="AH21" s="143">
        <f t="shared" ref="AH21" si="287">AG21*$E21</f>
        <v>0</v>
      </c>
      <c r="AI21" s="90"/>
      <c r="AJ21" s="143">
        <f t="shared" ref="AJ21" si="288">AI21*$E21</f>
        <v>0</v>
      </c>
      <c r="AK21" s="90"/>
      <c r="AL21" s="143">
        <f t="shared" si="24"/>
        <v>0</v>
      </c>
      <c r="AM21" s="90"/>
      <c r="AN21" s="143">
        <f t="shared" si="25"/>
        <v>0</v>
      </c>
      <c r="AO21" s="90"/>
      <c r="AP21" s="143">
        <f t="shared" si="26"/>
        <v>0</v>
      </c>
      <c r="AQ21" s="90"/>
      <c r="AR21" s="143">
        <f t="shared" si="27"/>
        <v>0</v>
      </c>
      <c r="AS21" s="90"/>
      <c r="AT21" s="143">
        <f t="shared" si="28"/>
        <v>0</v>
      </c>
      <c r="AU21" s="90"/>
      <c r="AV21" s="143">
        <f t="shared" si="29"/>
        <v>0</v>
      </c>
      <c r="AW21" s="90"/>
      <c r="AX21" s="143">
        <f t="shared" si="30"/>
        <v>0</v>
      </c>
      <c r="AY21" s="49">
        <v>13</v>
      </c>
      <c r="AZ21" s="155">
        <f t="shared" si="0"/>
        <v>0</v>
      </c>
      <c r="BA21" s="143">
        <f t="shared" si="1"/>
        <v>0</v>
      </c>
      <c r="BB21" s="50">
        <v>13</v>
      </c>
      <c r="BC21" s="158">
        <f t="shared" si="2"/>
        <v>12</v>
      </c>
      <c r="BD21" s="145">
        <f t="shared" si="3"/>
        <v>12</v>
      </c>
      <c r="BE21" s="151"/>
      <c r="BF21" s="143">
        <f t="shared" si="31"/>
        <v>0</v>
      </c>
      <c r="BG21" s="151"/>
      <c r="BH21" s="143">
        <f t="shared" si="31"/>
        <v>0</v>
      </c>
      <c r="BI21" s="151"/>
      <c r="BJ21" s="143">
        <f t="shared" ref="BJ21" si="289">BI21*$E21</f>
        <v>0</v>
      </c>
      <c r="BK21" s="151"/>
      <c r="BL21" s="143">
        <f t="shared" ref="BL21" si="290">BK21*$E21</f>
        <v>0</v>
      </c>
      <c r="BM21" s="151"/>
      <c r="BN21" s="143">
        <f t="shared" ref="BN21" si="291">BM21*$E21</f>
        <v>0</v>
      </c>
      <c r="BO21" s="151"/>
      <c r="BP21" s="143">
        <f t="shared" ref="BP21" si="292">BO21*$E21</f>
        <v>0</v>
      </c>
      <c r="BQ21" s="151"/>
      <c r="BR21" s="143">
        <f t="shared" ref="BR21" si="293">BQ21*$E21</f>
        <v>0</v>
      </c>
      <c r="BS21" s="151"/>
      <c r="BT21" s="143">
        <f t="shared" ref="BT21" si="294">BS21*$E21</f>
        <v>0</v>
      </c>
      <c r="BU21" s="151"/>
      <c r="BV21" s="143">
        <f t="shared" ref="BV21" si="295">BU21*$E21</f>
        <v>0</v>
      </c>
      <c r="BW21" s="151"/>
      <c r="BX21" s="143">
        <f t="shared" ref="BX21" si="296">BW21*$E21</f>
        <v>0</v>
      </c>
      <c r="BY21" s="151"/>
      <c r="BZ21" s="143">
        <f t="shared" ref="BZ21" si="297">BY21*$E21</f>
        <v>0</v>
      </c>
      <c r="CA21" s="49">
        <v>14</v>
      </c>
      <c r="CB21" s="149">
        <f t="shared" si="41"/>
        <v>0</v>
      </c>
      <c r="CC21" s="143">
        <f t="shared" si="4"/>
        <v>0</v>
      </c>
      <c r="CD21" s="49">
        <v>13</v>
      </c>
      <c r="CE21" s="54" t="str">
        <f t="shared" si="5"/>
        <v>CHOCOLATES TWIX - 25 X 50 GR</v>
      </c>
      <c r="CF21" s="174">
        <f t="shared" si="6"/>
        <v>12</v>
      </c>
      <c r="CG21" s="163" t="str">
        <f t="shared" si="7"/>
        <v>pcs</v>
      </c>
      <c r="CH21" s="160">
        <f t="shared" si="8"/>
        <v>1</v>
      </c>
      <c r="CI21" s="160">
        <f t="shared" si="42"/>
        <v>12</v>
      </c>
      <c r="CJ21" s="45">
        <f t="shared" si="43"/>
        <v>10.308</v>
      </c>
    </row>
    <row r="22" spans="1:88" ht="14.25" customHeight="1" x14ac:dyDescent="0.25">
      <c r="A22" s="46">
        <v>14</v>
      </c>
      <c r="B22" s="51" t="s">
        <v>35</v>
      </c>
      <c r="C22" s="53">
        <v>12</v>
      </c>
      <c r="D22" s="42" t="s">
        <v>36</v>
      </c>
      <c r="E22" s="170">
        <v>18.7</v>
      </c>
      <c r="F22" s="165">
        <f t="shared" si="113"/>
        <v>224.39999999999998</v>
      </c>
      <c r="G22" s="91"/>
      <c r="H22" s="143">
        <f t="shared" si="9"/>
        <v>0</v>
      </c>
      <c r="I22" s="91"/>
      <c r="J22" s="143">
        <f t="shared" ref="J22" si="298">I22*$E22</f>
        <v>0</v>
      </c>
      <c r="K22" s="90"/>
      <c r="L22" s="143">
        <f t="shared" ref="L22" si="299">K22*$E22</f>
        <v>0</v>
      </c>
      <c r="M22" s="90"/>
      <c r="N22" s="144">
        <f t="shared" ref="N22" si="300">M22*$E22</f>
        <v>0</v>
      </c>
      <c r="O22" s="90"/>
      <c r="P22" s="145">
        <f t="shared" ref="P22" si="301">O22*$E22</f>
        <v>0</v>
      </c>
      <c r="Q22" s="91"/>
      <c r="R22" s="143">
        <f t="shared" ref="R22" si="302">Q22*$E22</f>
        <v>0</v>
      </c>
      <c r="S22" s="90"/>
      <c r="T22" s="143">
        <f t="shared" ref="T22" si="303">S22*$E22</f>
        <v>0</v>
      </c>
      <c r="U22" s="108"/>
      <c r="V22" s="143">
        <f t="shared" ref="V22" si="304">U22*$E22</f>
        <v>0</v>
      </c>
      <c r="W22" s="91"/>
      <c r="X22" s="143">
        <f t="shared" ref="X22" si="305">W22*$E22</f>
        <v>0</v>
      </c>
      <c r="Y22" s="90"/>
      <c r="Z22" s="143">
        <f t="shared" ref="Z22" si="306">Y22*$E22</f>
        <v>0</v>
      </c>
      <c r="AA22" s="91"/>
      <c r="AB22" s="143">
        <f t="shared" ref="AB22" si="307">AA22*$E22</f>
        <v>0</v>
      </c>
      <c r="AC22" s="90"/>
      <c r="AD22" s="143">
        <f t="shared" ref="AD22" si="308">AC22*$E22</f>
        <v>0</v>
      </c>
      <c r="AE22" s="90"/>
      <c r="AF22" s="143">
        <f t="shared" ref="AF22" si="309">AE22*$E22</f>
        <v>0</v>
      </c>
      <c r="AG22" s="90"/>
      <c r="AH22" s="143">
        <f t="shared" ref="AH22" si="310">AG22*$E22</f>
        <v>0</v>
      </c>
      <c r="AI22" s="91"/>
      <c r="AJ22" s="143">
        <f t="shared" ref="AJ22" si="311">AI22*$E22</f>
        <v>0</v>
      </c>
      <c r="AK22" s="91"/>
      <c r="AL22" s="143">
        <f t="shared" si="24"/>
        <v>0</v>
      </c>
      <c r="AM22" s="91"/>
      <c r="AN22" s="143">
        <f t="shared" si="25"/>
        <v>0</v>
      </c>
      <c r="AO22" s="91"/>
      <c r="AP22" s="143">
        <f t="shared" si="26"/>
        <v>0</v>
      </c>
      <c r="AQ22" s="91"/>
      <c r="AR22" s="143">
        <f t="shared" si="27"/>
        <v>0</v>
      </c>
      <c r="AS22" s="91"/>
      <c r="AT22" s="143">
        <f t="shared" si="28"/>
        <v>0</v>
      </c>
      <c r="AU22" s="91"/>
      <c r="AV22" s="143">
        <f t="shared" si="29"/>
        <v>0</v>
      </c>
      <c r="AW22" s="91"/>
      <c r="AX22" s="143">
        <f t="shared" si="30"/>
        <v>0</v>
      </c>
      <c r="AY22" s="46">
        <v>14</v>
      </c>
      <c r="AZ22" s="155">
        <f t="shared" si="0"/>
        <v>0</v>
      </c>
      <c r="BA22" s="143">
        <f t="shared" si="1"/>
        <v>0</v>
      </c>
      <c r="BB22" s="47">
        <v>14</v>
      </c>
      <c r="BC22" s="158">
        <f t="shared" si="2"/>
        <v>12</v>
      </c>
      <c r="BD22" s="145">
        <f t="shared" si="3"/>
        <v>224.39999999999998</v>
      </c>
      <c r="BE22" s="151"/>
      <c r="BF22" s="143">
        <f t="shared" si="31"/>
        <v>0</v>
      </c>
      <c r="BG22" s="151"/>
      <c r="BH22" s="143">
        <f t="shared" si="31"/>
        <v>0</v>
      </c>
      <c r="BI22" s="151"/>
      <c r="BJ22" s="143">
        <f t="shared" ref="BJ22" si="312">BI22*$E22</f>
        <v>0</v>
      </c>
      <c r="BK22" s="151"/>
      <c r="BL22" s="143">
        <f t="shared" ref="BL22" si="313">BK22*$E22</f>
        <v>0</v>
      </c>
      <c r="BM22" s="151"/>
      <c r="BN22" s="143">
        <f t="shared" ref="BN22" si="314">BM22*$E22</f>
        <v>0</v>
      </c>
      <c r="BO22" s="151"/>
      <c r="BP22" s="143">
        <f t="shared" ref="BP22" si="315">BO22*$E22</f>
        <v>0</v>
      </c>
      <c r="BQ22" s="151"/>
      <c r="BR22" s="143">
        <f t="shared" ref="BR22" si="316">BQ22*$E22</f>
        <v>0</v>
      </c>
      <c r="BS22" s="151"/>
      <c r="BT22" s="143">
        <f t="shared" ref="BT22" si="317">BS22*$E22</f>
        <v>0</v>
      </c>
      <c r="BU22" s="151"/>
      <c r="BV22" s="143">
        <f t="shared" ref="BV22" si="318">BU22*$E22</f>
        <v>0</v>
      </c>
      <c r="BW22" s="151"/>
      <c r="BX22" s="143">
        <f t="shared" ref="BX22" si="319">BW22*$E22</f>
        <v>0</v>
      </c>
      <c r="BY22" s="151"/>
      <c r="BZ22" s="143">
        <f t="shared" ref="BZ22" si="320">BY22*$E22</f>
        <v>0</v>
      </c>
      <c r="CA22" s="49">
        <v>15</v>
      </c>
      <c r="CB22" s="149">
        <f t="shared" si="41"/>
        <v>0</v>
      </c>
      <c r="CC22" s="143">
        <f t="shared" si="4"/>
        <v>0</v>
      </c>
      <c r="CD22" s="46">
        <v>14</v>
      </c>
      <c r="CE22" s="54" t="str">
        <f t="shared" si="5"/>
        <v>COCA COLA 24X33 CL TINS</v>
      </c>
      <c r="CF22" s="174">
        <f t="shared" si="6"/>
        <v>12</v>
      </c>
      <c r="CG22" s="163" t="str">
        <f t="shared" si="7"/>
        <v>case</v>
      </c>
      <c r="CH22" s="160">
        <f t="shared" si="8"/>
        <v>18.7</v>
      </c>
      <c r="CI22" s="160">
        <f t="shared" si="42"/>
        <v>224.39999999999998</v>
      </c>
      <c r="CJ22" s="45">
        <f t="shared" si="43"/>
        <v>192.75959999999998</v>
      </c>
    </row>
    <row r="23" spans="1:88" ht="15" x14ac:dyDescent="0.25">
      <c r="A23" s="49">
        <v>15</v>
      </c>
      <c r="B23" s="51" t="s">
        <v>37</v>
      </c>
      <c r="C23" s="53">
        <v>31</v>
      </c>
      <c r="D23" s="42" t="s">
        <v>38</v>
      </c>
      <c r="E23" s="170">
        <v>5</v>
      </c>
      <c r="F23" s="165">
        <f>C23*E23</f>
        <v>155</v>
      </c>
      <c r="G23" s="90"/>
      <c r="H23" s="143">
        <f t="shared" si="9"/>
        <v>0</v>
      </c>
      <c r="I23" s="90"/>
      <c r="J23" s="143">
        <f t="shared" ref="J23" si="321">I23*$E23</f>
        <v>0</v>
      </c>
      <c r="K23" s="90"/>
      <c r="L23" s="143">
        <f t="shared" ref="L23" si="322">K23*$E23</f>
        <v>0</v>
      </c>
      <c r="M23" s="90"/>
      <c r="N23" s="144">
        <f t="shared" ref="N23" si="323">M23*$E23</f>
        <v>0</v>
      </c>
      <c r="O23" s="90"/>
      <c r="P23" s="145">
        <f t="shared" ref="P23" si="324">O23*$E23</f>
        <v>0</v>
      </c>
      <c r="Q23" s="90"/>
      <c r="R23" s="143">
        <f t="shared" ref="R23" si="325">Q23*$E23</f>
        <v>0</v>
      </c>
      <c r="S23" s="90"/>
      <c r="T23" s="143">
        <f t="shared" ref="T23" si="326">S23*$E23</f>
        <v>0</v>
      </c>
      <c r="U23" s="108"/>
      <c r="V23" s="143">
        <f t="shared" ref="V23" si="327">U23*$E23</f>
        <v>0</v>
      </c>
      <c r="W23" s="90"/>
      <c r="X23" s="143">
        <f t="shared" ref="X23" si="328">W23*$E23</f>
        <v>0</v>
      </c>
      <c r="Y23" s="90"/>
      <c r="Z23" s="143">
        <f t="shared" ref="Z23" si="329">Y23*$E23</f>
        <v>0</v>
      </c>
      <c r="AA23" s="90"/>
      <c r="AB23" s="143">
        <f t="shared" ref="AB23" si="330">AA23*$E23</f>
        <v>0</v>
      </c>
      <c r="AC23" s="90"/>
      <c r="AD23" s="143">
        <f t="shared" ref="AD23" si="331">AC23*$E23</f>
        <v>0</v>
      </c>
      <c r="AE23" s="90"/>
      <c r="AF23" s="143">
        <f t="shared" ref="AF23" si="332">AE23*$E23</f>
        <v>0</v>
      </c>
      <c r="AG23" s="90"/>
      <c r="AH23" s="143">
        <f t="shared" ref="AH23" si="333">AG23*$E23</f>
        <v>0</v>
      </c>
      <c r="AI23" s="90"/>
      <c r="AJ23" s="143">
        <f t="shared" ref="AJ23" si="334">AI23*$E23</f>
        <v>0</v>
      </c>
      <c r="AK23" s="90"/>
      <c r="AL23" s="143">
        <f t="shared" si="24"/>
        <v>0</v>
      </c>
      <c r="AM23" s="90"/>
      <c r="AN23" s="143">
        <f t="shared" si="25"/>
        <v>0</v>
      </c>
      <c r="AO23" s="90"/>
      <c r="AP23" s="143">
        <f t="shared" si="26"/>
        <v>0</v>
      </c>
      <c r="AQ23" s="90"/>
      <c r="AR23" s="143">
        <f t="shared" si="27"/>
        <v>0</v>
      </c>
      <c r="AS23" s="90"/>
      <c r="AT23" s="143">
        <f t="shared" si="28"/>
        <v>0</v>
      </c>
      <c r="AU23" s="90"/>
      <c r="AV23" s="143">
        <f t="shared" si="29"/>
        <v>0</v>
      </c>
      <c r="AW23" s="90"/>
      <c r="AX23" s="143">
        <f t="shared" si="30"/>
        <v>0</v>
      </c>
      <c r="AY23" s="49">
        <v>15</v>
      </c>
      <c r="AZ23" s="155">
        <f t="shared" si="0"/>
        <v>0</v>
      </c>
      <c r="BA23" s="143">
        <f t="shared" si="1"/>
        <v>0</v>
      </c>
      <c r="BB23" s="50">
        <v>15</v>
      </c>
      <c r="BC23" s="158">
        <f t="shared" si="2"/>
        <v>31</v>
      </c>
      <c r="BD23" s="145">
        <f t="shared" si="3"/>
        <v>155</v>
      </c>
      <c r="BE23" s="151"/>
      <c r="BF23" s="143">
        <f t="shared" si="31"/>
        <v>0</v>
      </c>
      <c r="BG23" s="151"/>
      <c r="BH23" s="143">
        <f t="shared" si="31"/>
        <v>0</v>
      </c>
      <c r="BI23" s="151"/>
      <c r="BJ23" s="143">
        <f t="shared" ref="BJ23" si="335">BI23*$E23</f>
        <v>0</v>
      </c>
      <c r="BK23" s="151"/>
      <c r="BL23" s="143">
        <f t="shared" ref="BL23" si="336">BK23*$E23</f>
        <v>0</v>
      </c>
      <c r="BM23" s="151"/>
      <c r="BN23" s="143">
        <f t="shared" ref="BN23" si="337">BM23*$E23</f>
        <v>0</v>
      </c>
      <c r="BO23" s="151"/>
      <c r="BP23" s="143">
        <f t="shared" ref="BP23" si="338">BO23*$E23</f>
        <v>0</v>
      </c>
      <c r="BQ23" s="151"/>
      <c r="BR23" s="143">
        <f t="shared" ref="BR23" si="339">BQ23*$E23</f>
        <v>0</v>
      </c>
      <c r="BS23" s="151"/>
      <c r="BT23" s="143">
        <f t="shared" ref="BT23" si="340">BS23*$E23</f>
        <v>0</v>
      </c>
      <c r="BU23" s="151"/>
      <c r="BV23" s="143">
        <f t="shared" ref="BV23" si="341">BU23*$E23</f>
        <v>0</v>
      </c>
      <c r="BW23" s="151"/>
      <c r="BX23" s="143">
        <f t="shared" ref="BX23" si="342">BW23*$E23</f>
        <v>0</v>
      </c>
      <c r="BY23" s="151"/>
      <c r="BZ23" s="143">
        <f t="shared" ref="BZ23" si="343">BY23*$E23</f>
        <v>0</v>
      </c>
      <c r="CA23" s="49">
        <v>17</v>
      </c>
      <c r="CB23" s="149">
        <f t="shared" si="41"/>
        <v>0</v>
      </c>
      <c r="CC23" s="143">
        <f t="shared" si="4"/>
        <v>0</v>
      </c>
      <c r="CD23" s="49">
        <v>15</v>
      </c>
      <c r="CE23" s="48" t="str">
        <f t="shared" si="5"/>
        <v>CADBURRY CHOCOLATE DAIRY MILK</v>
      </c>
      <c r="CF23" s="174">
        <f t="shared" si="6"/>
        <v>31</v>
      </c>
      <c r="CG23" s="162" t="str">
        <f t="shared" si="7"/>
        <v>box</v>
      </c>
      <c r="CH23" s="160">
        <f t="shared" si="8"/>
        <v>5</v>
      </c>
      <c r="CI23" s="160">
        <f t="shared" si="42"/>
        <v>155</v>
      </c>
      <c r="CJ23" s="45">
        <f t="shared" si="43"/>
        <v>133.14500000000001</v>
      </c>
    </row>
    <row r="24" spans="1:88" ht="15" x14ac:dyDescent="0.25">
      <c r="A24" s="46">
        <v>16</v>
      </c>
      <c r="B24" s="55" t="s">
        <v>39</v>
      </c>
      <c r="C24" s="56">
        <v>32</v>
      </c>
      <c r="D24" s="57" t="s">
        <v>5</v>
      </c>
      <c r="E24" s="171">
        <v>2.5</v>
      </c>
      <c r="F24" s="165">
        <f>C24*E24</f>
        <v>80</v>
      </c>
      <c r="G24" s="91"/>
      <c r="H24" s="143">
        <f t="shared" si="9"/>
        <v>0</v>
      </c>
      <c r="I24" s="91"/>
      <c r="J24" s="143">
        <f t="shared" ref="J24" si="344">I24*$E24</f>
        <v>0</v>
      </c>
      <c r="K24" s="90"/>
      <c r="L24" s="143">
        <f t="shared" ref="L24" si="345">K24*$E24</f>
        <v>0</v>
      </c>
      <c r="M24" s="90"/>
      <c r="N24" s="144">
        <f t="shared" ref="N24" si="346">M24*$E24</f>
        <v>0</v>
      </c>
      <c r="O24" s="90"/>
      <c r="P24" s="145">
        <f t="shared" ref="P24" si="347">O24*$E24</f>
        <v>0</v>
      </c>
      <c r="Q24" s="91"/>
      <c r="R24" s="143">
        <f t="shared" ref="R24" si="348">Q24*$E24</f>
        <v>0</v>
      </c>
      <c r="S24" s="90"/>
      <c r="T24" s="143">
        <f t="shared" ref="T24" si="349">S24*$E24</f>
        <v>0</v>
      </c>
      <c r="U24" s="108"/>
      <c r="V24" s="143">
        <f t="shared" ref="V24" si="350">U24*$E24</f>
        <v>0</v>
      </c>
      <c r="W24" s="91"/>
      <c r="X24" s="143">
        <f t="shared" ref="X24" si="351">W24*$E24</f>
        <v>0</v>
      </c>
      <c r="Y24" s="90"/>
      <c r="Z24" s="143">
        <f t="shared" ref="Z24" si="352">Y24*$E24</f>
        <v>0</v>
      </c>
      <c r="AA24" s="91"/>
      <c r="AB24" s="143">
        <f t="shared" ref="AB24" si="353">AA24*$E24</f>
        <v>0</v>
      </c>
      <c r="AC24" s="90"/>
      <c r="AD24" s="143">
        <f t="shared" ref="AD24" si="354">AC24*$E24</f>
        <v>0</v>
      </c>
      <c r="AE24" s="90"/>
      <c r="AF24" s="143">
        <f t="shared" ref="AF24" si="355">AE24*$E24</f>
        <v>0</v>
      </c>
      <c r="AG24" s="90"/>
      <c r="AH24" s="143">
        <f t="shared" ref="AH24" si="356">AG24*$E24</f>
        <v>0</v>
      </c>
      <c r="AI24" s="91"/>
      <c r="AJ24" s="143">
        <f t="shared" ref="AJ24" si="357">AI24*$E24</f>
        <v>0</v>
      </c>
      <c r="AK24" s="91"/>
      <c r="AL24" s="143">
        <f t="shared" si="24"/>
        <v>0</v>
      </c>
      <c r="AM24" s="91"/>
      <c r="AN24" s="143">
        <f t="shared" si="25"/>
        <v>0</v>
      </c>
      <c r="AO24" s="91"/>
      <c r="AP24" s="143">
        <f t="shared" si="26"/>
        <v>0</v>
      </c>
      <c r="AQ24" s="91"/>
      <c r="AR24" s="143">
        <f t="shared" si="27"/>
        <v>0</v>
      </c>
      <c r="AS24" s="91"/>
      <c r="AT24" s="143">
        <f t="shared" si="28"/>
        <v>0</v>
      </c>
      <c r="AU24" s="91"/>
      <c r="AV24" s="143">
        <f t="shared" si="29"/>
        <v>0</v>
      </c>
      <c r="AW24" s="91"/>
      <c r="AX24" s="143">
        <f t="shared" si="30"/>
        <v>0</v>
      </c>
      <c r="AY24" s="46">
        <v>16</v>
      </c>
      <c r="AZ24" s="155">
        <f t="shared" si="0"/>
        <v>0</v>
      </c>
      <c r="BA24" s="143">
        <f t="shared" si="1"/>
        <v>0</v>
      </c>
      <c r="BB24" s="47">
        <v>16</v>
      </c>
      <c r="BC24" s="158">
        <f t="shared" si="2"/>
        <v>32</v>
      </c>
      <c r="BD24" s="145">
        <f t="shared" si="3"/>
        <v>80</v>
      </c>
      <c r="BE24" s="151"/>
      <c r="BF24" s="143">
        <f t="shared" si="31"/>
        <v>0</v>
      </c>
      <c r="BG24" s="151"/>
      <c r="BH24" s="143">
        <f t="shared" si="31"/>
        <v>0</v>
      </c>
      <c r="BI24" s="151"/>
      <c r="BJ24" s="143">
        <f t="shared" ref="BJ24" si="358">BI24*$E24</f>
        <v>0</v>
      </c>
      <c r="BK24" s="151"/>
      <c r="BL24" s="143">
        <f t="shared" ref="BL24" si="359">BK24*$E24</f>
        <v>0</v>
      </c>
      <c r="BM24" s="151"/>
      <c r="BN24" s="143">
        <f t="shared" ref="BN24" si="360">BM24*$E24</f>
        <v>0</v>
      </c>
      <c r="BO24" s="151"/>
      <c r="BP24" s="143">
        <f t="shared" ref="BP24" si="361">BO24*$E24</f>
        <v>0</v>
      </c>
      <c r="BQ24" s="151"/>
      <c r="BR24" s="143">
        <f t="shared" ref="BR24" si="362">BQ24*$E24</f>
        <v>0</v>
      </c>
      <c r="BS24" s="151"/>
      <c r="BT24" s="143">
        <f t="shared" ref="BT24" si="363">BS24*$E24</f>
        <v>0</v>
      </c>
      <c r="BU24" s="151"/>
      <c r="BV24" s="143">
        <f t="shared" ref="BV24" si="364">BU24*$E24</f>
        <v>0</v>
      </c>
      <c r="BW24" s="151"/>
      <c r="BX24" s="143">
        <f t="shared" ref="BX24" si="365">BW24*$E24</f>
        <v>0</v>
      </c>
      <c r="BY24" s="151"/>
      <c r="BZ24" s="143">
        <f t="shared" ref="BZ24" si="366">BY24*$E24</f>
        <v>0</v>
      </c>
      <c r="CA24" s="49">
        <v>18</v>
      </c>
      <c r="CB24" s="149">
        <f t="shared" si="41"/>
        <v>0</v>
      </c>
      <c r="CC24" s="143">
        <f t="shared" si="4"/>
        <v>0</v>
      </c>
      <c r="CD24" s="46">
        <v>16</v>
      </c>
      <c r="CE24" s="48" t="str">
        <f t="shared" si="5"/>
        <v>RITTERSPORT ALMOND</v>
      </c>
      <c r="CF24" s="174">
        <f t="shared" si="6"/>
        <v>32</v>
      </c>
      <c r="CG24" s="162" t="str">
        <f t="shared" si="7"/>
        <v>pcs</v>
      </c>
      <c r="CH24" s="160">
        <f t="shared" si="8"/>
        <v>2.5</v>
      </c>
      <c r="CI24" s="160">
        <f t="shared" si="42"/>
        <v>80</v>
      </c>
      <c r="CJ24" s="45">
        <f t="shared" si="43"/>
        <v>68.72</v>
      </c>
    </row>
    <row r="25" spans="1:88" ht="15" x14ac:dyDescent="0.25">
      <c r="A25" s="49">
        <v>17</v>
      </c>
      <c r="B25" s="51" t="s">
        <v>40</v>
      </c>
      <c r="C25" s="53">
        <v>32</v>
      </c>
      <c r="D25" s="42" t="s">
        <v>5</v>
      </c>
      <c r="E25" s="170">
        <v>2.5</v>
      </c>
      <c r="F25" s="165">
        <f>C25*E25</f>
        <v>80</v>
      </c>
      <c r="G25" s="90"/>
      <c r="H25" s="143">
        <f t="shared" si="9"/>
        <v>0</v>
      </c>
      <c r="I25" s="90"/>
      <c r="J25" s="143">
        <f t="shared" ref="J25" si="367">I25*$E25</f>
        <v>0</v>
      </c>
      <c r="K25" s="90"/>
      <c r="L25" s="143">
        <f t="shared" ref="L25" si="368">K25*$E25</f>
        <v>0</v>
      </c>
      <c r="M25" s="90"/>
      <c r="N25" s="144">
        <f t="shared" ref="N25" si="369">M25*$E25</f>
        <v>0</v>
      </c>
      <c r="O25" s="90"/>
      <c r="P25" s="145">
        <f t="shared" ref="P25" si="370">O25*$E25</f>
        <v>0</v>
      </c>
      <c r="Q25" s="90"/>
      <c r="R25" s="143">
        <f t="shared" ref="R25" si="371">Q25*$E25</f>
        <v>0</v>
      </c>
      <c r="S25" s="90"/>
      <c r="T25" s="143">
        <f t="shared" ref="T25" si="372">S25*$E25</f>
        <v>0</v>
      </c>
      <c r="U25" s="108"/>
      <c r="V25" s="143">
        <f t="shared" ref="V25" si="373">U25*$E25</f>
        <v>0</v>
      </c>
      <c r="W25" s="90"/>
      <c r="X25" s="143">
        <f t="shared" ref="X25" si="374">W25*$E25</f>
        <v>0</v>
      </c>
      <c r="Y25" s="90"/>
      <c r="Z25" s="143">
        <f t="shared" ref="Z25" si="375">Y25*$E25</f>
        <v>0</v>
      </c>
      <c r="AA25" s="90"/>
      <c r="AB25" s="143">
        <f t="shared" ref="AB25" si="376">AA25*$E25</f>
        <v>0</v>
      </c>
      <c r="AC25" s="90"/>
      <c r="AD25" s="143">
        <f t="shared" ref="AD25" si="377">AC25*$E25</f>
        <v>0</v>
      </c>
      <c r="AE25" s="91"/>
      <c r="AF25" s="143">
        <f t="shared" ref="AF25" si="378">AE25*$E25</f>
        <v>0</v>
      </c>
      <c r="AG25" s="91"/>
      <c r="AH25" s="143">
        <f t="shared" ref="AH25" si="379">AG25*$E25</f>
        <v>0</v>
      </c>
      <c r="AI25" s="90"/>
      <c r="AJ25" s="143">
        <f t="shared" ref="AJ25" si="380">AI25*$E25</f>
        <v>0</v>
      </c>
      <c r="AK25" s="90"/>
      <c r="AL25" s="143">
        <f t="shared" si="24"/>
        <v>0</v>
      </c>
      <c r="AM25" s="90"/>
      <c r="AN25" s="143">
        <f t="shared" si="25"/>
        <v>0</v>
      </c>
      <c r="AO25" s="90"/>
      <c r="AP25" s="143">
        <f t="shared" si="26"/>
        <v>0</v>
      </c>
      <c r="AQ25" s="90"/>
      <c r="AR25" s="143">
        <f t="shared" si="27"/>
        <v>0</v>
      </c>
      <c r="AS25" s="90"/>
      <c r="AT25" s="143">
        <f t="shared" si="28"/>
        <v>0</v>
      </c>
      <c r="AU25" s="90"/>
      <c r="AV25" s="143">
        <f t="shared" si="29"/>
        <v>0</v>
      </c>
      <c r="AW25" s="90"/>
      <c r="AX25" s="143">
        <f t="shared" si="30"/>
        <v>0</v>
      </c>
      <c r="AY25" s="49">
        <v>17</v>
      </c>
      <c r="AZ25" s="155">
        <f t="shared" si="0"/>
        <v>0</v>
      </c>
      <c r="BA25" s="143">
        <f t="shared" si="1"/>
        <v>0</v>
      </c>
      <c r="BB25" s="50">
        <v>17</v>
      </c>
      <c r="BC25" s="158">
        <f t="shared" si="2"/>
        <v>32</v>
      </c>
      <c r="BD25" s="145">
        <f t="shared" si="3"/>
        <v>80</v>
      </c>
      <c r="BE25" s="151"/>
      <c r="BF25" s="143">
        <f t="shared" si="31"/>
        <v>0</v>
      </c>
      <c r="BG25" s="151"/>
      <c r="BH25" s="143">
        <f t="shared" si="31"/>
        <v>0</v>
      </c>
      <c r="BI25" s="151"/>
      <c r="BJ25" s="143">
        <f t="shared" ref="BJ25" si="381">BI25*$E25</f>
        <v>0</v>
      </c>
      <c r="BK25" s="151"/>
      <c r="BL25" s="143">
        <f t="shared" ref="BL25" si="382">BK25*$E25</f>
        <v>0</v>
      </c>
      <c r="BM25" s="151"/>
      <c r="BN25" s="143">
        <f t="shared" ref="BN25" si="383">BM25*$E25</f>
        <v>0</v>
      </c>
      <c r="BO25" s="151"/>
      <c r="BP25" s="143">
        <f t="shared" ref="BP25" si="384">BO25*$E25</f>
        <v>0</v>
      </c>
      <c r="BQ25" s="151"/>
      <c r="BR25" s="143">
        <f t="shared" ref="BR25" si="385">BQ25*$E25</f>
        <v>0</v>
      </c>
      <c r="BS25" s="151"/>
      <c r="BT25" s="143">
        <f t="shared" ref="BT25" si="386">BS25*$E25</f>
        <v>0</v>
      </c>
      <c r="BU25" s="151"/>
      <c r="BV25" s="143">
        <f t="shared" ref="BV25" si="387">BU25*$E25</f>
        <v>0</v>
      </c>
      <c r="BW25" s="151"/>
      <c r="BX25" s="143">
        <f t="shared" ref="BX25" si="388">BW25*$E25</f>
        <v>0</v>
      </c>
      <c r="BY25" s="151"/>
      <c r="BZ25" s="143">
        <f t="shared" ref="BZ25" si="389">BY25*$E25</f>
        <v>0</v>
      </c>
      <c r="CA25" s="49">
        <v>20</v>
      </c>
      <c r="CB25" s="149">
        <f t="shared" si="41"/>
        <v>0</v>
      </c>
      <c r="CC25" s="143">
        <f t="shared" si="4"/>
        <v>0</v>
      </c>
      <c r="CD25" s="49">
        <v>17</v>
      </c>
      <c r="CE25" s="48" t="str">
        <f t="shared" si="5"/>
        <v>RITTERSPORT ALPINE MILK</v>
      </c>
      <c r="CF25" s="174">
        <f t="shared" si="6"/>
        <v>32</v>
      </c>
      <c r="CG25" s="162" t="str">
        <f t="shared" si="7"/>
        <v>pcs</v>
      </c>
      <c r="CH25" s="160">
        <f t="shared" si="8"/>
        <v>2.5</v>
      </c>
      <c r="CI25" s="160">
        <f t="shared" si="42"/>
        <v>80</v>
      </c>
      <c r="CJ25" s="45">
        <f t="shared" si="43"/>
        <v>68.72</v>
      </c>
    </row>
    <row r="26" spans="1:88" ht="15" x14ac:dyDescent="0.25">
      <c r="A26" s="46">
        <v>18</v>
      </c>
      <c r="B26" s="51" t="s">
        <v>41</v>
      </c>
      <c r="C26" s="52">
        <v>1</v>
      </c>
      <c r="D26" s="42">
        <v>0</v>
      </c>
      <c r="E26" s="170">
        <v>0</v>
      </c>
      <c r="F26" s="165">
        <f>C26*E26</f>
        <v>0</v>
      </c>
      <c r="G26" s="91"/>
      <c r="H26" s="143">
        <f t="shared" si="9"/>
        <v>0</v>
      </c>
      <c r="I26" s="91"/>
      <c r="J26" s="143">
        <f t="shared" ref="J26" si="390">I26*$E26</f>
        <v>0</v>
      </c>
      <c r="K26" s="91"/>
      <c r="L26" s="143">
        <f t="shared" ref="L26" si="391">K26*$E26</f>
        <v>0</v>
      </c>
      <c r="M26" s="90"/>
      <c r="N26" s="144">
        <f t="shared" ref="N26" si="392">M26*$E26</f>
        <v>0</v>
      </c>
      <c r="O26" s="91"/>
      <c r="P26" s="145">
        <f t="shared" ref="P26" si="393">O26*$E26</f>
        <v>0</v>
      </c>
      <c r="Q26" s="91"/>
      <c r="R26" s="143">
        <f t="shared" ref="R26" si="394">Q26*$E26</f>
        <v>0</v>
      </c>
      <c r="S26" s="91"/>
      <c r="T26" s="143">
        <f t="shared" ref="T26" si="395">S26*$E26</f>
        <v>0</v>
      </c>
      <c r="U26" s="109"/>
      <c r="V26" s="143">
        <f t="shared" ref="V26" si="396">U26*$E26</f>
        <v>0</v>
      </c>
      <c r="W26" s="91"/>
      <c r="X26" s="143">
        <f t="shared" ref="X26" si="397">W26*$E26</f>
        <v>0</v>
      </c>
      <c r="Y26" s="91"/>
      <c r="Z26" s="143">
        <f t="shared" ref="Z26" si="398">Y26*$E26</f>
        <v>0</v>
      </c>
      <c r="AA26" s="91"/>
      <c r="AB26" s="143">
        <f t="shared" ref="AB26" si="399">AA26*$E26</f>
        <v>0</v>
      </c>
      <c r="AC26" s="91"/>
      <c r="AD26" s="143">
        <f t="shared" ref="AD26" si="400">AC26*$E26</f>
        <v>0</v>
      </c>
      <c r="AE26" s="90"/>
      <c r="AF26" s="143">
        <f t="shared" ref="AF26" si="401">AE26*$E26</f>
        <v>0</v>
      </c>
      <c r="AG26" s="90"/>
      <c r="AH26" s="143">
        <f t="shared" ref="AH26" si="402">AG26*$E26</f>
        <v>0</v>
      </c>
      <c r="AI26" s="91"/>
      <c r="AJ26" s="143">
        <f t="shared" ref="AJ26" si="403">AI26*$E26</f>
        <v>0</v>
      </c>
      <c r="AK26" s="91"/>
      <c r="AL26" s="143">
        <f t="shared" si="24"/>
        <v>0</v>
      </c>
      <c r="AM26" s="91"/>
      <c r="AN26" s="143">
        <f t="shared" si="25"/>
        <v>0</v>
      </c>
      <c r="AO26" s="91"/>
      <c r="AP26" s="143">
        <f t="shared" si="26"/>
        <v>0</v>
      </c>
      <c r="AQ26" s="91"/>
      <c r="AR26" s="143">
        <f t="shared" si="27"/>
        <v>0</v>
      </c>
      <c r="AS26" s="91"/>
      <c r="AT26" s="143">
        <f t="shared" si="28"/>
        <v>0</v>
      </c>
      <c r="AU26" s="91"/>
      <c r="AV26" s="143">
        <f t="shared" si="29"/>
        <v>0</v>
      </c>
      <c r="AW26" s="91"/>
      <c r="AX26" s="143">
        <f t="shared" si="30"/>
        <v>0</v>
      </c>
      <c r="AY26" s="46">
        <v>18</v>
      </c>
      <c r="AZ26" s="155">
        <f t="shared" si="0"/>
        <v>0</v>
      </c>
      <c r="BA26" s="143">
        <f t="shared" si="1"/>
        <v>0</v>
      </c>
      <c r="BB26" s="47">
        <v>18</v>
      </c>
      <c r="BC26" s="158">
        <f t="shared" si="2"/>
        <v>1</v>
      </c>
      <c r="BD26" s="145">
        <f t="shared" si="3"/>
        <v>0</v>
      </c>
      <c r="BE26" s="151"/>
      <c r="BF26" s="143">
        <f t="shared" si="31"/>
        <v>0</v>
      </c>
      <c r="BG26" s="151"/>
      <c r="BH26" s="143">
        <f t="shared" si="31"/>
        <v>0</v>
      </c>
      <c r="BI26" s="151"/>
      <c r="BJ26" s="143">
        <f t="shared" ref="BJ26" si="404">BI26*$E26</f>
        <v>0</v>
      </c>
      <c r="BK26" s="151"/>
      <c r="BL26" s="143">
        <f t="shared" ref="BL26" si="405">BK26*$E26</f>
        <v>0</v>
      </c>
      <c r="BM26" s="151"/>
      <c r="BN26" s="143">
        <f t="shared" ref="BN26" si="406">BM26*$E26</f>
        <v>0</v>
      </c>
      <c r="BO26" s="151"/>
      <c r="BP26" s="143">
        <f t="shared" ref="BP26" si="407">BO26*$E26</f>
        <v>0</v>
      </c>
      <c r="BQ26" s="151"/>
      <c r="BR26" s="143">
        <f t="shared" ref="BR26" si="408">BQ26*$E26</f>
        <v>0</v>
      </c>
      <c r="BS26" s="151"/>
      <c r="BT26" s="143">
        <f t="shared" ref="BT26" si="409">BS26*$E26</f>
        <v>0</v>
      </c>
      <c r="BU26" s="151"/>
      <c r="BV26" s="143">
        <f t="shared" ref="BV26" si="410">BU26*$E26</f>
        <v>0</v>
      </c>
      <c r="BW26" s="151"/>
      <c r="BX26" s="143">
        <f t="shared" ref="BX26" si="411">BW26*$E26</f>
        <v>0</v>
      </c>
      <c r="BY26" s="151"/>
      <c r="BZ26" s="143">
        <f t="shared" ref="BZ26" si="412">BY26*$E26</f>
        <v>0</v>
      </c>
      <c r="CA26" s="49">
        <v>21</v>
      </c>
      <c r="CB26" s="149">
        <f t="shared" si="41"/>
        <v>0</v>
      </c>
      <c r="CC26" s="143">
        <f t="shared" si="4"/>
        <v>0</v>
      </c>
      <c r="CD26" s="46">
        <v>18</v>
      </c>
      <c r="CE26" s="48" t="str">
        <f t="shared" si="5"/>
        <v>Bremerhaven</v>
      </c>
      <c r="CF26" s="174">
        <f t="shared" si="6"/>
        <v>1</v>
      </c>
      <c r="CG26" s="162">
        <f t="shared" si="7"/>
        <v>0</v>
      </c>
      <c r="CH26" s="160">
        <f t="shared" si="8"/>
        <v>0</v>
      </c>
      <c r="CI26" s="160">
        <f t="shared" si="42"/>
        <v>0</v>
      </c>
      <c r="CJ26" s="45">
        <f t="shared" si="43"/>
        <v>0</v>
      </c>
    </row>
    <row r="27" spans="1:88" ht="15" x14ac:dyDescent="0.25">
      <c r="A27" s="49">
        <v>19</v>
      </c>
      <c r="B27" s="51" t="s">
        <v>42</v>
      </c>
      <c r="C27" s="53">
        <v>50</v>
      </c>
      <c r="D27" s="42" t="s">
        <v>17</v>
      </c>
      <c r="E27" s="170">
        <v>12.5</v>
      </c>
      <c r="F27" s="165">
        <f>C27*E27</f>
        <v>625</v>
      </c>
      <c r="G27" s="90"/>
      <c r="H27" s="143">
        <f t="shared" si="9"/>
        <v>0</v>
      </c>
      <c r="I27" s="90"/>
      <c r="J27" s="143">
        <f t="shared" ref="J27" si="413">I27*$E27</f>
        <v>0</v>
      </c>
      <c r="K27" s="90"/>
      <c r="L27" s="143">
        <f t="shared" ref="L27" si="414">K27*$E27</f>
        <v>0</v>
      </c>
      <c r="M27" s="90"/>
      <c r="N27" s="144">
        <f t="shared" ref="N27" si="415">M27*$E27</f>
        <v>0</v>
      </c>
      <c r="O27" s="90"/>
      <c r="P27" s="145">
        <f t="shared" ref="P27" si="416">O27*$E27</f>
        <v>0</v>
      </c>
      <c r="Q27" s="90"/>
      <c r="R27" s="143">
        <f t="shared" ref="R27" si="417">Q27*$E27</f>
        <v>0</v>
      </c>
      <c r="S27" s="90"/>
      <c r="T27" s="143">
        <f t="shared" ref="T27" si="418">S27*$E27</f>
        <v>0</v>
      </c>
      <c r="U27" s="108"/>
      <c r="V27" s="143">
        <f t="shared" ref="V27" si="419">U27*$E27</f>
        <v>0</v>
      </c>
      <c r="W27" s="90"/>
      <c r="X27" s="143">
        <f t="shared" ref="X27" si="420">W27*$E27</f>
        <v>0</v>
      </c>
      <c r="Y27" s="90"/>
      <c r="Z27" s="143">
        <f t="shared" ref="Z27" si="421">Y27*$E27</f>
        <v>0</v>
      </c>
      <c r="AA27" s="90"/>
      <c r="AB27" s="143">
        <f t="shared" ref="AB27" si="422">AA27*$E27</f>
        <v>0</v>
      </c>
      <c r="AC27" s="90"/>
      <c r="AD27" s="143">
        <f t="shared" ref="AD27" si="423">AC27*$E27</f>
        <v>0</v>
      </c>
      <c r="AE27" s="90"/>
      <c r="AF27" s="143">
        <f t="shared" ref="AF27" si="424">AE27*$E27</f>
        <v>0</v>
      </c>
      <c r="AG27" s="90"/>
      <c r="AH27" s="143">
        <f t="shared" ref="AH27" si="425">AG27*$E27</f>
        <v>0</v>
      </c>
      <c r="AI27" s="90"/>
      <c r="AJ27" s="143">
        <f t="shared" ref="AJ27" si="426">AI27*$E27</f>
        <v>0</v>
      </c>
      <c r="AK27" s="90"/>
      <c r="AL27" s="143">
        <f t="shared" si="24"/>
        <v>0</v>
      </c>
      <c r="AM27" s="90"/>
      <c r="AN27" s="143">
        <f t="shared" si="25"/>
        <v>0</v>
      </c>
      <c r="AO27" s="90"/>
      <c r="AP27" s="143">
        <f t="shared" si="26"/>
        <v>0</v>
      </c>
      <c r="AQ27" s="90"/>
      <c r="AR27" s="143">
        <f t="shared" si="27"/>
        <v>0</v>
      </c>
      <c r="AS27" s="90"/>
      <c r="AT27" s="143">
        <f t="shared" si="28"/>
        <v>0</v>
      </c>
      <c r="AU27" s="90"/>
      <c r="AV27" s="143">
        <f t="shared" si="29"/>
        <v>0</v>
      </c>
      <c r="AW27" s="90"/>
      <c r="AX27" s="143">
        <f t="shared" si="30"/>
        <v>0</v>
      </c>
      <c r="AY27" s="49">
        <v>19</v>
      </c>
      <c r="AZ27" s="155">
        <f t="shared" si="0"/>
        <v>0</v>
      </c>
      <c r="BA27" s="143">
        <f t="shared" si="1"/>
        <v>0</v>
      </c>
      <c r="BB27" s="50">
        <v>19</v>
      </c>
      <c r="BC27" s="158">
        <f t="shared" si="2"/>
        <v>50</v>
      </c>
      <c r="BD27" s="145">
        <f t="shared" si="3"/>
        <v>625</v>
      </c>
      <c r="BE27" s="151"/>
      <c r="BF27" s="143">
        <f t="shared" si="31"/>
        <v>0</v>
      </c>
      <c r="BG27" s="151"/>
      <c r="BH27" s="143">
        <f t="shared" si="31"/>
        <v>0</v>
      </c>
      <c r="BI27" s="151"/>
      <c r="BJ27" s="143">
        <f t="shared" ref="BJ27" si="427">BI27*$E27</f>
        <v>0</v>
      </c>
      <c r="BK27" s="151"/>
      <c r="BL27" s="143">
        <f t="shared" ref="BL27" si="428">BK27*$E27</f>
        <v>0</v>
      </c>
      <c r="BM27" s="151"/>
      <c r="BN27" s="143">
        <f t="shared" ref="BN27" si="429">BM27*$E27</f>
        <v>0</v>
      </c>
      <c r="BO27" s="151"/>
      <c r="BP27" s="143">
        <f t="shared" ref="BP27" si="430">BO27*$E27</f>
        <v>0</v>
      </c>
      <c r="BQ27" s="151"/>
      <c r="BR27" s="143">
        <f t="shared" ref="BR27" si="431">BQ27*$E27</f>
        <v>0</v>
      </c>
      <c r="BS27" s="151"/>
      <c r="BT27" s="143">
        <f t="shared" ref="BT27" si="432">BS27*$E27</f>
        <v>0</v>
      </c>
      <c r="BU27" s="151"/>
      <c r="BV27" s="143">
        <f t="shared" ref="BV27" si="433">BU27*$E27</f>
        <v>0</v>
      </c>
      <c r="BW27" s="151"/>
      <c r="BX27" s="143">
        <f t="shared" ref="BX27" si="434">BW27*$E27</f>
        <v>0</v>
      </c>
      <c r="BY27" s="151"/>
      <c r="BZ27" s="143">
        <f t="shared" ref="BZ27" si="435">BY27*$E27</f>
        <v>0</v>
      </c>
      <c r="CA27" s="49">
        <v>22</v>
      </c>
      <c r="CB27" s="149">
        <f t="shared" si="41"/>
        <v>0</v>
      </c>
      <c r="CC27" s="143">
        <f t="shared" si="4"/>
        <v>0</v>
      </c>
      <c r="CD27" s="49">
        <v>19</v>
      </c>
      <c r="CE27" s="48" t="str">
        <f t="shared" si="5"/>
        <v>Winston Red</v>
      </c>
      <c r="CF27" s="174">
        <f t="shared" si="6"/>
        <v>50</v>
      </c>
      <c r="CG27" s="162" t="str">
        <f t="shared" si="7"/>
        <v>crt</v>
      </c>
      <c r="CH27" s="160">
        <f t="shared" si="8"/>
        <v>12.5</v>
      </c>
      <c r="CI27" s="160">
        <f t="shared" si="42"/>
        <v>625</v>
      </c>
      <c r="CJ27" s="45">
        <f t="shared" si="43"/>
        <v>536.875</v>
      </c>
    </row>
    <row r="28" spans="1:88" ht="15" x14ac:dyDescent="0.25">
      <c r="A28" s="46">
        <v>20</v>
      </c>
      <c r="B28" s="58" t="s">
        <v>28</v>
      </c>
      <c r="C28" s="52">
        <v>20</v>
      </c>
      <c r="D28" s="42" t="s">
        <v>29</v>
      </c>
      <c r="E28" s="170">
        <v>15</v>
      </c>
      <c r="F28" s="165">
        <f t="shared" ref="F28:F61" si="436">C28*E28</f>
        <v>300</v>
      </c>
      <c r="G28" s="91"/>
      <c r="H28" s="143">
        <f t="shared" si="9"/>
        <v>0</v>
      </c>
      <c r="I28" s="91"/>
      <c r="J28" s="143">
        <f t="shared" ref="J28" si="437">I28*$E28</f>
        <v>0</v>
      </c>
      <c r="K28" s="90"/>
      <c r="L28" s="143">
        <f t="shared" ref="L28" si="438">K28*$E28</f>
        <v>0</v>
      </c>
      <c r="M28" s="90"/>
      <c r="N28" s="144">
        <f t="shared" ref="N28" si="439">M28*$E28</f>
        <v>0</v>
      </c>
      <c r="O28" s="90"/>
      <c r="P28" s="145">
        <f t="shared" ref="P28" si="440">O28*$E28</f>
        <v>0</v>
      </c>
      <c r="Q28" s="91"/>
      <c r="R28" s="143">
        <f t="shared" ref="R28" si="441">Q28*$E28</f>
        <v>0</v>
      </c>
      <c r="S28" s="90"/>
      <c r="T28" s="143">
        <f t="shared" ref="T28" si="442">S28*$E28</f>
        <v>0</v>
      </c>
      <c r="U28" s="108"/>
      <c r="V28" s="143">
        <f t="shared" ref="V28" si="443">U28*$E28</f>
        <v>0</v>
      </c>
      <c r="W28" s="91"/>
      <c r="X28" s="143">
        <f t="shared" ref="X28" si="444">W28*$E28</f>
        <v>0</v>
      </c>
      <c r="Y28" s="90"/>
      <c r="Z28" s="143">
        <f t="shared" ref="Z28" si="445">Y28*$E28</f>
        <v>0</v>
      </c>
      <c r="AA28" s="91"/>
      <c r="AB28" s="143">
        <f t="shared" ref="AB28" si="446">AA28*$E28</f>
        <v>0</v>
      </c>
      <c r="AC28" s="90"/>
      <c r="AD28" s="143">
        <f t="shared" ref="AD28" si="447">AC28*$E28</f>
        <v>0</v>
      </c>
      <c r="AE28" s="90"/>
      <c r="AF28" s="143">
        <f t="shared" ref="AF28" si="448">AE28*$E28</f>
        <v>0</v>
      </c>
      <c r="AG28" s="90"/>
      <c r="AH28" s="143">
        <f t="shared" ref="AH28" si="449">AG28*$E28</f>
        <v>0</v>
      </c>
      <c r="AI28" s="91"/>
      <c r="AJ28" s="143">
        <f t="shared" ref="AJ28" si="450">AI28*$E28</f>
        <v>0</v>
      </c>
      <c r="AK28" s="91"/>
      <c r="AL28" s="143">
        <f t="shared" si="24"/>
        <v>0</v>
      </c>
      <c r="AM28" s="91"/>
      <c r="AN28" s="143">
        <f t="shared" si="25"/>
        <v>0</v>
      </c>
      <c r="AO28" s="91"/>
      <c r="AP28" s="143">
        <f t="shared" si="26"/>
        <v>0</v>
      </c>
      <c r="AQ28" s="91"/>
      <c r="AR28" s="143">
        <f t="shared" si="27"/>
        <v>0</v>
      </c>
      <c r="AS28" s="91"/>
      <c r="AT28" s="143">
        <f t="shared" si="28"/>
        <v>0</v>
      </c>
      <c r="AU28" s="91"/>
      <c r="AV28" s="143">
        <f t="shared" si="29"/>
        <v>0</v>
      </c>
      <c r="AW28" s="91"/>
      <c r="AX28" s="143">
        <f t="shared" si="30"/>
        <v>0</v>
      </c>
      <c r="AY28" s="46">
        <v>20</v>
      </c>
      <c r="AZ28" s="155">
        <f t="shared" si="0"/>
        <v>0</v>
      </c>
      <c r="BA28" s="143">
        <f t="shared" si="1"/>
        <v>0</v>
      </c>
      <c r="BB28" s="47">
        <v>20</v>
      </c>
      <c r="BC28" s="158">
        <f t="shared" si="2"/>
        <v>20</v>
      </c>
      <c r="BD28" s="145">
        <f t="shared" si="3"/>
        <v>300</v>
      </c>
      <c r="BE28" s="151"/>
      <c r="BF28" s="143">
        <f t="shared" si="31"/>
        <v>0</v>
      </c>
      <c r="BG28" s="151"/>
      <c r="BH28" s="143">
        <f t="shared" si="31"/>
        <v>0</v>
      </c>
      <c r="BI28" s="151"/>
      <c r="BJ28" s="143">
        <f t="shared" ref="BJ28" si="451">BI28*$E28</f>
        <v>0</v>
      </c>
      <c r="BK28" s="151"/>
      <c r="BL28" s="143">
        <f t="shared" ref="BL28" si="452">BK28*$E28</f>
        <v>0</v>
      </c>
      <c r="BM28" s="151"/>
      <c r="BN28" s="143">
        <f t="shared" ref="BN28" si="453">BM28*$E28</f>
        <v>0</v>
      </c>
      <c r="BO28" s="151"/>
      <c r="BP28" s="143">
        <f t="shared" ref="BP28" si="454">BO28*$E28</f>
        <v>0</v>
      </c>
      <c r="BQ28" s="151"/>
      <c r="BR28" s="143">
        <f t="shared" ref="BR28" si="455">BQ28*$E28</f>
        <v>0</v>
      </c>
      <c r="BS28" s="151"/>
      <c r="BT28" s="143">
        <f t="shared" ref="BT28" si="456">BS28*$E28</f>
        <v>0</v>
      </c>
      <c r="BU28" s="151"/>
      <c r="BV28" s="143">
        <f t="shared" ref="BV28" si="457">BU28*$E28</f>
        <v>0</v>
      </c>
      <c r="BW28" s="151"/>
      <c r="BX28" s="143">
        <f t="shared" ref="BX28" si="458">BW28*$E28</f>
        <v>0</v>
      </c>
      <c r="BY28" s="151"/>
      <c r="BZ28" s="143">
        <f t="shared" ref="BZ28" si="459">BY28*$E28</f>
        <v>0</v>
      </c>
      <c r="CA28" s="49">
        <v>23</v>
      </c>
      <c r="CB28" s="149">
        <f t="shared" si="41"/>
        <v>0</v>
      </c>
      <c r="CC28" s="143">
        <f t="shared" si="4"/>
        <v>0</v>
      </c>
      <c r="CD28" s="46">
        <v>20</v>
      </c>
      <c r="CE28" s="48" t="str">
        <f t="shared" si="5"/>
        <v>FANTA ORANGE 24X33 CL TIN</v>
      </c>
      <c r="CF28" s="174">
        <f t="shared" si="6"/>
        <v>20</v>
      </c>
      <c r="CG28" s="162" t="str">
        <f t="shared" si="7"/>
        <v>Case</v>
      </c>
      <c r="CH28" s="160">
        <f t="shared" si="8"/>
        <v>15</v>
      </c>
      <c r="CI28" s="160">
        <f t="shared" si="42"/>
        <v>300</v>
      </c>
      <c r="CJ28" s="45">
        <f t="shared" si="43"/>
        <v>257.7</v>
      </c>
    </row>
    <row r="29" spans="1:88" ht="14.25" customHeight="1" x14ac:dyDescent="0.25">
      <c r="A29" s="49">
        <v>21</v>
      </c>
      <c r="B29" s="51" t="s">
        <v>30</v>
      </c>
      <c r="C29" s="52">
        <v>19</v>
      </c>
      <c r="D29" s="42" t="s">
        <v>29</v>
      </c>
      <c r="E29" s="170">
        <v>15</v>
      </c>
      <c r="F29" s="165">
        <f t="shared" si="436"/>
        <v>285</v>
      </c>
      <c r="G29" s="90"/>
      <c r="H29" s="143">
        <f t="shared" si="9"/>
        <v>0</v>
      </c>
      <c r="I29" s="90"/>
      <c r="J29" s="143">
        <f t="shared" ref="J29" si="460">I29*$E29</f>
        <v>0</v>
      </c>
      <c r="K29" s="90"/>
      <c r="L29" s="143">
        <f t="shared" ref="L29" si="461">K29*$E29</f>
        <v>0</v>
      </c>
      <c r="M29" s="90"/>
      <c r="N29" s="144">
        <f t="shared" ref="N29" si="462">M29*$E29</f>
        <v>0</v>
      </c>
      <c r="O29" s="90"/>
      <c r="P29" s="145">
        <f t="shared" ref="P29" si="463">O29*$E29</f>
        <v>0</v>
      </c>
      <c r="Q29" s="90"/>
      <c r="R29" s="143">
        <f t="shared" ref="R29" si="464">Q29*$E29</f>
        <v>0</v>
      </c>
      <c r="S29" s="90"/>
      <c r="T29" s="143">
        <f t="shared" ref="T29" si="465">S29*$E29</f>
        <v>0</v>
      </c>
      <c r="U29" s="108"/>
      <c r="V29" s="143">
        <f t="shared" ref="V29" si="466">U29*$E29</f>
        <v>0</v>
      </c>
      <c r="W29" s="90"/>
      <c r="X29" s="143">
        <f t="shared" ref="X29" si="467">W29*$E29</f>
        <v>0</v>
      </c>
      <c r="Y29" s="90"/>
      <c r="Z29" s="143">
        <f t="shared" ref="Z29" si="468">Y29*$E29</f>
        <v>0</v>
      </c>
      <c r="AA29" s="90"/>
      <c r="AB29" s="143">
        <f t="shared" ref="AB29" si="469">AA29*$E29</f>
        <v>0</v>
      </c>
      <c r="AC29" s="90"/>
      <c r="AD29" s="143">
        <f t="shared" ref="AD29" si="470">AC29*$E29</f>
        <v>0</v>
      </c>
      <c r="AE29" s="90"/>
      <c r="AF29" s="143">
        <f t="shared" ref="AF29" si="471">AE29*$E29</f>
        <v>0</v>
      </c>
      <c r="AG29" s="90"/>
      <c r="AH29" s="143">
        <f t="shared" ref="AH29" si="472">AG29*$E29</f>
        <v>0</v>
      </c>
      <c r="AI29" s="90"/>
      <c r="AJ29" s="143">
        <f t="shared" ref="AJ29" si="473">AI29*$E29</f>
        <v>0</v>
      </c>
      <c r="AK29" s="90"/>
      <c r="AL29" s="143">
        <f t="shared" si="24"/>
        <v>0</v>
      </c>
      <c r="AM29" s="90"/>
      <c r="AN29" s="143">
        <f t="shared" si="25"/>
        <v>0</v>
      </c>
      <c r="AO29" s="90"/>
      <c r="AP29" s="143">
        <f t="shared" si="26"/>
        <v>0</v>
      </c>
      <c r="AQ29" s="90"/>
      <c r="AR29" s="143">
        <f t="shared" si="27"/>
        <v>0</v>
      </c>
      <c r="AS29" s="90"/>
      <c r="AT29" s="143">
        <f t="shared" si="28"/>
        <v>0</v>
      </c>
      <c r="AU29" s="90"/>
      <c r="AV29" s="143">
        <f t="shared" si="29"/>
        <v>0</v>
      </c>
      <c r="AW29" s="90"/>
      <c r="AX29" s="143">
        <f t="shared" si="30"/>
        <v>0</v>
      </c>
      <c r="AY29" s="49">
        <v>21</v>
      </c>
      <c r="AZ29" s="155">
        <f t="shared" si="0"/>
        <v>0</v>
      </c>
      <c r="BA29" s="143">
        <f t="shared" si="1"/>
        <v>0</v>
      </c>
      <c r="BB29" s="50">
        <v>21</v>
      </c>
      <c r="BC29" s="158">
        <f t="shared" si="2"/>
        <v>19</v>
      </c>
      <c r="BD29" s="145">
        <f t="shared" si="3"/>
        <v>285</v>
      </c>
      <c r="BE29" s="151"/>
      <c r="BF29" s="143">
        <f t="shared" si="31"/>
        <v>0</v>
      </c>
      <c r="BG29" s="151"/>
      <c r="BH29" s="143">
        <f t="shared" si="31"/>
        <v>0</v>
      </c>
      <c r="BI29" s="151"/>
      <c r="BJ29" s="143">
        <f t="shared" ref="BJ29" si="474">BI29*$E29</f>
        <v>0</v>
      </c>
      <c r="BK29" s="151"/>
      <c r="BL29" s="143">
        <f t="shared" ref="BL29" si="475">BK29*$E29</f>
        <v>0</v>
      </c>
      <c r="BM29" s="151"/>
      <c r="BN29" s="143">
        <f t="shared" ref="BN29" si="476">BM29*$E29</f>
        <v>0</v>
      </c>
      <c r="BO29" s="151"/>
      <c r="BP29" s="143">
        <f t="shared" ref="BP29" si="477">BO29*$E29</f>
        <v>0</v>
      </c>
      <c r="BQ29" s="151"/>
      <c r="BR29" s="143">
        <f t="shared" ref="BR29" si="478">BQ29*$E29</f>
        <v>0</v>
      </c>
      <c r="BS29" s="151"/>
      <c r="BT29" s="143">
        <f t="shared" ref="BT29" si="479">BS29*$E29</f>
        <v>0</v>
      </c>
      <c r="BU29" s="151"/>
      <c r="BV29" s="143">
        <f t="shared" ref="BV29" si="480">BU29*$E29</f>
        <v>0</v>
      </c>
      <c r="BW29" s="151"/>
      <c r="BX29" s="143">
        <f t="shared" ref="BX29" si="481">BW29*$E29</f>
        <v>0</v>
      </c>
      <c r="BY29" s="151"/>
      <c r="BZ29" s="143">
        <f t="shared" ref="BZ29" si="482">BY29*$E29</f>
        <v>0</v>
      </c>
      <c r="CA29" s="49">
        <v>25</v>
      </c>
      <c r="CB29" s="149">
        <f t="shared" si="41"/>
        <v>0</v>
      </c>
      <c r="CC29" s="143">
        <f t="shared" si="4"/>
        <v>0</v>
      </c>
      <c r="CD29" s="49">
        <v>21</v>
      </c>
      <c r="CE29" s="48" t="str">
        <f t="shared" si="5"/>
        <v>PEPSI COLA 24X33 CL TIN</v>
      </c>
      <c r="CF29" s="174">
        <f t="shared" si="6"/>
        <v>19</v>
      </c>
      <c r="CG29" s="162" t="str">
        <f t="shared" si="7"/>
        <v>Case</v>
      </c>
      <c r="CH29" s="160">
        <f t="shared" si="8"/>
        <v>15</v>
      </c>
      <c r="CI29" s="160">
        <f t="shared" si="42"/>
        <v>285</v>
      </c>
      <c r="CJ29" s="45">
        <f t="shared" si="43"/>
        <v>244.815</v>
      </c>
    </row>
    <row r="30" spans="1:88" ht="15" x14ac:dyDescent="0.25">
      <c r="A30" s="46">
        <v>22</v>
      </c>
      <c r="B30" s="58" t="s">
        <v>31</v>
      </c>
      <c r="C30" s="53">
        <v>16</v>
      </c>
      <c r="D30" s="42" t="s">
        <v>29</v>
      </c>
      <c r="E30" s="170">
        <v>15</v>
      </c>
      <c r="F30" s="165">
        <f t="shared" si="436"/>
        <v>240</v>
      </c>
      <c r="G30" s="91"/>
      <c r="H30" s="143">
        <f t="shared" si="9"/>
        <v>0</v>
      </c>
      <c r="I30" s="91"/>
      <c r="J30" s="143">
        <f t="shared" ref="J30" si="483">I30*$E30</f>
        <v>0</v>
      </c>
      <c r="K30" s="90"/>
      <c r="L30" s="143">
        <f t="shared" ref="L30" si="484">K30*$E30</f>
        <v>0</v>
      </c>
      <c r="M30" s="90"/>
      <c r="N30" s="144">
        <f t="shared" ref="N30" si="485">M30*$E30</f>
        <v>0</v>
      </c>
      <c r="O30" s="90"/>
      <c r="P30" s="145">
        <f t="shared" ref="P30" si="486">O30*$E30</f>
        <v>0</v>
      </c>
      <c r="Q30" s="91"/>
      <c r="R30" s="143">
        <f t="shared" ref="R30" si="487">Q30*$E30</f>
        <v>0</v>
      </c>
      <c r="S30" s="90"/>
      <c r="T30" s="143">
        <f t="shared" ref="T30" si="488">S30*$E30</f>
        <v>0</v>
      </c>
      <c r="U30" s="90"/>
      <c r="V30" s="143">
        <f t="shared" ref="V30" si="489">U30*$E30</f>
        <v>0</v>
      </c>
      <c r="W30" s="91"/>
      <c r="X30" s="143">
        <f t="shared" ref="X30" si="490">W30*$E30</f>
        <v>0</v>
      </c>
      <c r="Y30" s="90"/>
      <c r="Z30" s="143">
        <f t="shared" ref="Z30" si="491">Y30*$E30</f>
        <v>0</v>
      </c>
      <c r="AA30" s="91"/>
      <c r="AB30" s="143">
        <f t="shared" ref="AB30" si="492">AA30*$E30</f>
        <v>0</v>
      </c>
      <c r="AC30" s="90"/>
      <c r="AD30" s="143">
        <f t="shared" ref="AD30" si="493">AC30*$E30</f>
        <v>0</v>
      </c>
      <c r="AE30" s="91"/>
      <c r="AF30" s="143">
        <f t="shared" ref="AF30" si="494">AE30*$E30</f>
        <v>0</v>
      </c>
      <c r="AG30" s="91"/>
      <c r="AH30" s="143">
        <f t="shared" ref="AH30" si="495">AG30*$E30</f>
        <v>0</v>
      </c>
      <c r="AI30" s="91"/>
      <c r="AJ30" s="143">
        <f t="shared" ref="AJ30" si="496">AI30*$E30</f>
        <v>0</v>
      </c>
      <c r="AK30" s="91"/>
      <c r="AL30" s="143">
        <f t="shared" si="24"/>
        <v>0</v>
      </c>
      <c r="AM30" s="91"/>
      <c r="AN30" s="143">
        <f t="shared" si="25"/>
        <v>0</v>
      </c>
      <c r="AO30" s="91"/>
      <c r="AP30" s="143">
        <f t="shared" si="26"/>
        <v>0</v>
      </c>
      <c r="AQ30" s="91"/>
      <c r="AR30" s="143">
        <f t="shared" si="27"/>
        <v>0</v>
      </c>
      <c r="AS30" s="91"/>
      <c r="AT30" s="143">
        <f t="shared" si="28"/>
        <v>0</v>
      </c>
      <c r="AU30" s="91"/>
      <c r="AV30" s="143">
        <f t="shared" si="29"/>
        <v>0</v>
      </c>
      <c r="AW30" s="91"/>
      <c r="AX30" s="143">
        <f t="shared" si="30"/>
        <v>0</v>
      </c>
      <c r="AY30" s="46">
        <v>22</v>
      </c>
      <c r="AZ30" s="155">
        <f t="shared" si="0"/>
        <v>0</v>
      </c>
      <c r="BA30" s="143">
        <f t="shared" si="1"/>
        <v>0</v>
      </c>
      <c r="BB30" s="47">
        <v>22</v>
      </c>
      <c r="BC30" s="158">
        <f t="shared" si="2"/>
        <v>16</v>
      </c>
      <c r="BD30" s="145">
        <f t="shared" si="3"/>
        <v>240</v>
      </c>
      <c r="BE30" s="151"/>
      <c r="BF30" s="143">
        <f t="shared" si="31"/>
        <v>0</v>
      </c>
      <c r="BG30" s="151"/>
      <c r="BH30" s="143">
        <f t="shared" si="31"/>
        <v>0</v>
      </c>
      <c r="BI30" s="151"/>
      <c r="BJ30" s="143">
        <f t="shared" ref="BJ30" si="497">BI30*$E30</f>
        <v>0</v>
      </c>
      <c r="BK30" s="151"/>
      <c r="BL30" s="143">
        <f t="shared" ref="BL30" si="498">BK30*$E30</f>
        <v>0</v>
      </c>
      <c r="BM30" s="151"/>
      <c r="BN30" s="143">
        <f t="shared" ref="BN30" si="499">BM30*$E30</f>
        <v>0</v>
      </c>
      <c r="BO30" s="151"/>
      <c r="BP30" s="143">
        <f t="shared" ref="BP30" si="500">BO30*$E30</f>
        <v>0</v>
      </c>
      <c r="BQ30" s="151"/>
      <c r="BR30" s="143">
        <f t="shared" ref="BR30" si="501">BQ30*$E30</f>
        <v>0</v>
      </c>
      <c r="BS30" s="151"/>
      <c r="BT30" s="143">
        <f t="shared" ref="BT30" si="502">BS30*$E30</f>
        <v>0</v>
      </c>
      <c r="BU30" s="151"/>
      <c r="BV30" s="143">
        <f t="shared" ref="BV30" si="503">BU30*$E30</f>
        <v>0</v>
      </c>
      <c r="BW30" s="151"/>
      <c r="BX30" s="143">
        <f t="shared" ref="BX30" si="504">BW30*$E30</f>
        <v>0</v>
      </c>
      <c r="BY30" s="151"/>
      <c r="BZ30" s="143">
        <f t="shared" ref="BZ30" si="505">BY30*$E30</f>
        <v>0</v>
      </c>
      <c r="CA30" s="49">
        <v>26</v>
      </c>
      <c r="CB30" s="149">
        <f t="shared" si="41"/>
        <v>0</v>
      </c>
      <c r="CC30" s="143">
        <f t="shared" si="4"/>
        <v>0</v>
      </c>
      <c r="CD30" s="46">
        <v>22</v>
      </c>
      <c r="CE30" s="48" t="str">
        <f t="shared" si="5"/>
        <v>SPRITE 24X33CL TINS LEMON</v>
      </c>
      <c r="CF30" s="174">
        <f t="shared" si="6"/>
        <v>16</v>
      </c>
      <c r="CG30" s="162" t="str">
        <f t="shared" si="7"/>
        <v>Case</v>
      </c>
      <c r="CH30" s="160">
        <f t="shared" si="8"/>
        <v>15</v>
      </c>
      <c r="CI30" s="160">
        <f t="shared" si="42"/>
        <v>240</v>
      </c>
      <c r="CJ30" s="45">
        <f t="shared" si="43"/>
        <v>206.16</v>
      </c>
    </row>
    <row r="31" spans="1:88" ht="15" x14ac:dyDescent="0.25">
      <c r="A31" s="49">
        <v>23</v>
      </c>
      <c r="B31" s="51" t="s">
        <v>43</v>
      </c>
      <c r="C31" s="92">
        <v>11</v>
      </c>
      <c r="D31" s="42" t="s">
        <v>29</v>
      </c>
      <c r="E31" s="170">
        <v>15</v>
      </c>
      <c r="F31" s="165">
        <f t="shared" si="436"/>
        <v>165</v>
      </c>
      <c r="G31" s="90"/>
      <c r="H31" s="143">
        <f t="shared" si="9"/>
        <v>0</v>
      </c>
      <c r="I31" s="90"/>
      <c r="J31" s="143">
        <f t="shared" ref="J31" si="506">I31*$E31</f>
        <v>0</v>
      </c>
      <c r="K31" s="90"/>
      <c r="L31" s="143">
        <f t="shared" ref="L31" si="507">K31*$E31</f>
        <v>0</v>
      </c>
      <c r="M31" s="90"/>
      <c r="N31" s="144">
        <f t="shared" ref="N31" si="508">M31*$E31</f>
        <v>0</v>
      </c>
      <c r="O31" s="90"/>
      <c r="P31" s="145">
        <f t="shared" ref="P31" si="509">O31*$E31</f>
        <v>0</v>
      </c>
      <c r="Q31" s="90"/>
      <c r="R31" s="143">
        <f t="shared" ref="R31" si="510">Q31*$E31</f>
        <v>0</v>
      </c>
      <c r="S31" s="90"/>
      <c r="T31" s="143">
        <f t="shared" ref="T31" si="511">S31*$E31</f>
        <v>0</v>
      </c>
      <c r="U31" s="90"/>
      <c r="V31" s="143">
        <f t="shared" ref="V31" si="512">U31*$E31</f>
        <v>0</v>
      </c>
      <c r="W31" s="90"/>
      <c r="X31" s="143">
        <f t="shared" ref="X31" si="513">W31*$E31</f>
        <v>0</v>
      </c>
      <c r="Y31" s="90"/>
      <c r="Z31" s="143">
        <f t="shared" ref="Z31" si="514">Y31*$E31</f>
        <v>0</v>
      </c>
      <c r="AA31" s="90"/>
      <c r="AB31" s="143">
        <f t="shared" ref="AB31" si="515">AA31*$E31</f>
        <v>0</v>
      </c>
      <c r="AC31" s="90"/>
      <c r="AD31" s="143">
        <f t="shared" ref="AD31" si="516">AC31*$E31</f>
        <v>0</v>
      </c>
      <c r="AE31" s="90"/>
      <c r="AF31" s="143">
        <f t="shared" ref="AF31" si="517">AE31*$E31</f>
        <v>0</v>
      </c>
      <c r="AG31" s="90"/>
      <c r="AH31" s="143">
        <f t="shared" ref="AH31" si="518">AG31*$E31</f>
        <v>0</v>
      </c>
      <c r="AI31" s="90"/>
      <c r="AJ31" s="143">
        <f t="shared" ref="AJ31" si="519">AI31*$E31</f>
        <v>0</v>
      </c>
      <c r="AK31" s="90"/>
      <c r="AL31" s="143">
        <f t="shared" si="24"/>
        <v>0</v>
      </c>
      <c r="AM31" s="90"/>
      <c r="AN31" s="143">
        <f t="shared" si="25"/>
        <v>0</v>
      </c>
      <c r="AO31" s="90"/>
      <c r="AP31" s="143">
        <f t="shared" si="26"/>
        <v>0</v>
      </c>
      <c r="AQ31" s="90"/>
      <c r="AR31" s="143">
        <f t="shared" si="27"/>
        <v>0</v>
      </c>
      <c r="AS31" s="90"/>
      <c r="AT31" s="143">
        <f t="shared" si="28"/>
        <v>0</v>
      </c>
      <c r="AU31" s="90"/>
      <c r="AV31" s="143">
        <f t="shared" si="29"/>
        <v>0</v>
      </c>
      <c r="AW31" s="90"/>
      <c r="AX31" s="143">
        <f t="shared" si="30"/>
        <v>0</v>
      </c>
      <c r="AY31" s="49">
        <v>23</v>
      </c>
      <c r="AZ31" s="155">
        <f t="shared" si="0"/>
        <v>0</v>
      </c>
      <c r="BA31" s="143">
        <f t="shared" si="1"/>
        <v>0</v>
      </c>
      <c r="BB31" s="50">
        <v>23</v>
      </c>
      <c r="BC31" s="158">
        <f t="shared" si="2"/>
        <v>11</v>
      </c>
      <c r="BD31" s="145">
        <f t="shared" si="3"/>
        <v>165</v>
      </c>
      <c r="BE31" s="151"/>
      <c r="BF31" s="143">
        <f t="shared" si="31"/>
        <v>0</v>
      </c>
      <c r="BG31" s="151"/>
      <c r="BH31" s="143">
        <f t="shared" si="31"/>
        <v>0</v>
      </c>
      <c r="BI31" s="151"/>
      <c r="BJ31" s="143">
        <f t="shared" ref="BJ31" si="520">BI31*$E31</f>
        <v>0</v>
      </c>
      <c r="BK31" s="151"/>
      <c r="BL31" s="143">
        <f t="shared" ref="BL31" si="521">BK31*$E31</f>
        <v>0</v>
      </c>
      <c r="BM31" s="151"/>
      <c r="BN31" s="143">
        <f t="shared" ref="BN31" si="522">BM31*$E31</f>
        <v>0</v>
      </c>
      <c r="BO31" s="151"/>
      <c r="BP31" s="143">
        <f t="shared" ref="BP31" si="523">BO31*$E31</f>
        <v>0</v>
      </c>
      <c r="BQ31" s="151"/>
      <c r="BR31" s="143">
        <f t="shared" ref="BR31" si="524">BQ31*$E31</f>
        <v>0</v>
      </c>
      <c r="BS31" s="151"/>
      <c r="BT31" s="143">
        <f t="shared" ref="BT31" si="525">BS31*$E31</f>
        <v>0</v>
      </c>
      <c r="BU31" s="151"/>
      <c r="BV31" s="143">
        <f t="shared" ref="BV31" si="526">BU31*$E31</f>
        <v>0</v>
      </c>
      <c r="BW31" s="151"/>
      <c r="BX31" s="143">
        <f t="shared" ref="BX31" si="527">BW31*$E31</f>
        <v>0</v>
      </c>
      <c r="BY31" s="151"/>
      <c r="BZ31" s="143">
        <f t="shared" ref="BZ31" si="528">BY31*$E31</f>
        <v>0</v>
      </c>
      <c r="CA31" s="49">
        <v>27</v>
      </c>
      <c r="CB31" s="149">
        <f t="shared" si="41"/>
        <v>0</v>
      </c>
      <c r="CC31" s="143">
        <f t="shared" si="4"/>
        <v>0</v>
      </c>
      <c r="CD31" s="49">
        <v>23</v>
      </c>
      <c r="CE31" s="48" t="str">
        <f t="shared" si="5"/>
        <v>Beer Carlsberg 24x33CL tins</v>
      </c>
      <c r="CF31" s="174">
        <f t="shared" si="6"/>
        <v>11</v>
      </c>
      <c r="CG31" s="162" t="str">
        <f t="shared" si="7"/>
        <v>Case</v>
      </c>
      <c r="CH31" s="160">
        <f t="shared" si="8"/>
        <v>15</v>
      </c>
      <c r="CI31" s="160">
        <f t="shared" si="42"/>
        <v>165</v>
      </c>
      <c r="CJ31" s="45">
        <f t="shared" si="43"/>
        <v>141.73499999999999</v>
      </c>
    </row>
    <row r="32" spans="1:88" ht="15" x14ac:dyDescent="0.25">
      <c r="A32" s="46">
        <v>24</v>
      </c>
      <c r="B32" s="51" t="s">
        <v>44</v>
      </c>
      <c r="C32" s="52">
        <v>4</v>
      </c>
      <c r="D32" s="42" t="s">
        <v>45</v>
      </c>
      <c r="E32" s="170">
        <v>3</v>
      </c>
      <c r="F32" s="165">
        <f t="shared" si="436"/>
        <v>12</v>
      </c>
      <c r="G32" s="91"/>
      <c r="H32" s="143">
        <f t="shared" si="9"/>
        <v>0</v>
      </c>
      <c r="I32" s="91"/>
      <c r="J32" s="143">
        <f t="shared" ref="J32" si="529">I32*$E32</f>
        <v>0</v>
      </c>
      <c r="K32" s="90"/>
      <c r="L32" s="143">
        <f t="shared" ref="L32" si="530">K32*$E32</f>
        <v>0</v>
      </c>
      <c r="M32" s="90"/>
      <c r="N32" s="144">
        <f t="shared" ref="N32" si="531">M32*$E32</f>
        <v>0</v>
      </c>
      <c r="O32" s="90"/>
      <c r="P32" s="145">
        <f t="shared" ref="P32" si="532">O32*$E32</f>
        <v>0</v>
      </c>
      <c r="Q32" s="91"/>
      <c r="R32" s="143">
        <f t="shared" ref="R32" si="533">Q32*$E32</f>
        <v>0</v>
      </c>
      <c r="S32" s="90"/>
      <c r="T32" s="143">
        <f t="shared" ref="T32" si="534">S32*$E32</f>
        <v>0</v>
      </c>
      <c r="U32" s="90"/>
      <c r="V32" s="143">
        <f t="shared" ref="V32" si="535">U32*$E32</f>
        <v>0</v>
      </c>
      <c r="W32" s="91"/>
      <c r="X32" s="143">
        <f t="shared" ref="X32" si="536">W32*$E32</f>
        <v>0</v>
      </c>
      <c r="Y32" s="90"/>
      <c r="Z32" s="143">
        <f t="shared" ref="Z32" si="537">Y32*$E32</f>
        <v>0</v>
      </c>
      <c r="AA32" s="91"/>
      <c r="AB32" s="143">
        <f t="shared" ref="AB32" si="538">AA32*$E32</f>
        <v>0</v>
      </c>
      <c r="AC32" s="90"/>
      <c r="AD32" s="143">
        <f t="shared" ref="AD32" si="539">AC32*$E32</f>
        <v>0</v>
      </c>
      <c r="AE32" s="91"/>
      <c r="AF32" s="143">
        <f t="shared" ref="AF32" si="540">AE32*$E32</f>
        <v>0</v>
      </c>
      <c r="AG32" s="91"/>
      <c r="AH32" s="143">
        <f t="shared" ref="AH32" si="541">AG32*$E32</f>
        <v>0</v>
      </c>
      <c r="AI32" s="91"/>
      <c r="AJ32" s="143">
        <f t="shared" ref="AJ32" si="542">AI32*$E32</f>
        <v>0</v>
      </c>
      <c r="AK32" s="91"/>
      <c r="AL32" s="143">
        <f t="shared" si="24"/>
        <v>0</v>
      </c>
      <c r="AM32" s="91"/>
      <c r="AN32" s="143">
        <f t="shared" si="25"/>
        <v>0</v>
      </c>
      <c r="AO32" s="91"/>
      <c r="AP32" s="143">
        <f t="shared" si="26"/>
        <v>0</v>
      </c>
      <c r="AQ32" s="91"/>
      <c r="AR32" s="143">
        <f t="shared" si="27"/>
        <v>0</v>
      </c>
      <c r="AS32" s="91"/>
      <c r="AT32" s="143">
        <f t="shared" si="28"/>
        <v>0</v>
      </c>
      <c r="AU32" s="91"/>
      <c r="AV32" s="143">
        <f t="shared" si="29"/>
        <v>0</v>
      </c>
      <c r="AW32" s="91"/>
      <c r="AX32" s="143">
        <f t="shared" si="30"/>
        <v>0</v>
      </c>
      <c r="AY32" s="46">
        <v>24</v>
      </c>
      <c r="AZ32" s="155">
        <f t="shared" si="0"/>
        <v>0</v>
      </c>
      <c r="BA32" s="143">
        <f t="shared" si="1"/>
        <v>0</v>
      </c>
      <c r="BB32" s="47">
        <v>24</v>
      </c>
      <c r="BC32" s="158">
        <f t="shared" si="2"/>
        <v>4</v>
      </c>
      <c r="BD32" s="145">
        <f t="shared" si="3"/>
        <v>12</v>
      </c>
      <c r="BE32" s="151"/>
      <c r="BF32" s="143">
        <f t="shared" si="31"/>
        <v>0</v>
      </c>
      <c r="BG32" s="151"/>
      <c r="BH32" s="143">
        <f t="shared" si="31"/>
        <v>0</v>
      </c>
      <c r="BI32" s="151"/>
      <c r="BJ32" s="143">
        <f t="shared" ref="BJ32" si="543">BI32*$E32</f>
        <v>0</v>
      </c>
      <c r="BK32" s="151"/>
      <c r="BL32" s="143">
        <f t="shared" ref="BL32" si="544">BK32*$E32</f>
        <v>0</v>
      </c>
      <c r="BM32" s="151"/>
      <c r="BN32" s="143">
        <f t="shared" ref="BN32" si="545">BM32*$E32</f>
        <v>0</v>
      </c>
      <c r="BO32" s="151"/>
      <c r="BP32" s="143">
        <f t="shared" ref="BP32" si="546">BO32*$E32</f>
        <v>0</v>
      </c>
      <c r="BQ32" s="151"/>
      <c r="BR32" s="143">
        <f t="shared" ref="BR32" si="547">BQ32*$E32</f>
        <v>0</v>
      </c>
      <c r="BS32" s="151"/>
      <c r="BT32" s="143">
        <f t="shared" ref="BT32" si="548">BS32*$E32</f>
        <v>0</v>
      </c>
      <c r="BU32" s="151"/>
      <c r="BV32" s="143">
        <f t="shared" ref="BV32" si="549">BU32*$E32</f>
        <v>0</v>
      </c>
      <c r="BW32" s="151"/>
      <c r="BX32" s="143">
        <f t="shared" ref="BX32" si="550">BW32*$E32</f>
        <v>0</v>
      </c>
      <c r="BY32" s="151"/>
      <c r="BZ32" s="143">
        <f t="shared" ref="BZ32" si="551">BY32*$E32</f>
        <v>0</v>
      </c>
      <c r="CA32" s="49">
        <v>28</v>
      </c>
      <c r="CB32" s="149">
        <f t="shared" si="41"/>
        <v>0</v>
      </c>
      <c r="CC32" s="143">
        <f t="shared" si="4"/>
        <v>0</v>
      </c>
      <c r="CD32" s="46">
        <v>24</v>
      </c>
      <c r="CE32" s="48" t="str">
        <f t="shared" si="5"/>
        <v>Wine White</v>
      </c>
      <c r="CF32" s="174">
        <f t="shared" si="6"/>
        <v>4</v>
      </c>
      <c r="CG32" s="162" t="str">
        <f t="shared" si="7"/>
        <v>btl</v>
      </c>
      <c r="CH32" s="160">
        <f t="shared" si="8"/>
        <v>3</v>
      </c>
      <c r="CI32" s="160">
        <f t="shared" si="42"/>
        <v>12</v>
      </c>
      <c r="CJ32" s="45">
        <f t="shared" si="43"/>
        <v>10.308</v>
      </c>
    </row>
    <row r="33" spans="1:88" ht="15" x14ac:dyDescent="0.25">
      <c r="A33" s="49">
        <v>25</v>
      </c>
      <c r="B33" s="51" t="s">
        <v>46</v>
      </c>
      <c r="C33" s="52">
        <v>4</v>
      </c>
      <c r="D33" s="42" t="s">
        <v>45</v>
      </c>
      <c r="E33" s="170">
        <v>3</v>
      </c>
      <c r="F33" s="165">
        <f t="shared" si="436"/>
        <v>12</v>
      </c>
      <c r="G33" s="90"/>
      <c r="H33" s="143">
        <f t="shared" si="9"/>
        <v>0</v>
      </c>
      <c r="I33" s="90"/>
      <c r="J33" s="143">
        <f t="shared" ref="J33" si="552">I33*$E33</f>
        <v>0</v>
      </c>
      <c r="K33" s="90"/>
      <c r="L33" s="143">
        <f t="shared" ref="L33" si="553">K33*$E33</f>
        <v>0</v>
      </c>
      <c r="M33" s="90"/>
      <c r="N33" s="144">
        <f t="shared" ref="N33" si="554">M33*$E33</f>
        <v>0</v>
      </c>
      <c r="O33" s="90"/>
      <c r="P33" s="145">
        <f t="shared" ref="P33" si="555">O33*$E33</f>
        <v>0</v>
      </c>
      <c r="Q33" s="90"/>
      <c r="R33" s="143">
        <f t="shared" ref="R33" si="556">Q33*$E33</f>
        <v>0</v>
      </c>
      <c r="S33" s="90"/>
      <c r="T33" s="143">
        <f t="shared" ref="T33" si="557">S33*$E33</f>
        <v>0</v>
      </c>
      <c r="U33" s="90"/>
      <c r="V33" s="143">
        <f t="shared" ref="V33" si="558">U33*$E33</f>
        <v>0</v>
      </c>
      <c r="W33" s="90"/>
      <c r="X33" s="143">
        <f t="shared" ref="X33" si="559">W33*$E33</f>
        <v>0</v>
      </c>
      <c r="Y33" s="90"/>
      <c r="Z33" s="143">
        <f t="shared" ref="Z33" si="560">Y33*$E33</f>
        <v>0</v>
      </c>
      <c r="AA33" s="90"/>
      <c r="AB33" s="143">
        <f t="shared" ref="AB33" si="561">AA33*$E33</f>
        <v>0</v>
      </c>
      <c r="AC33" s="90"/>
      <c r="AD33" s="143">
        <f t="shared" ref="AD33" si="562">AC33*$E33</f>
        <v>0</v>
      </c>
      <c r="AE33" s="90"/>
      <c r="AF33" s="143">
        <f t="shared" ref="AF33" si="563">AE33*$E33</f>
        <v>0</v>
      </c>
      <c r="AG33" s="90"/>
      <c r="AH33" s="143">
        <f t="shared" ref="AH33" si="564">AG33*$E33</f>
        <v>0</v>
      </c>
      <c r="AI33" s="90"/>
      <c r="AJ33" s="143">
        <f t="shared" ref="AJ33" si="565">AI33*$E33</f>
        <v>0</v>
      </c>
      <c r="AK33" s="90"/>
      <c r="AL33" s="143">
        <f t="shared" si="24"/>
        <v>0</v>
      </c>
      <c r="AM33" s="90"/>
      <c r="AN33" s="143">
        <f t="shared" si="25"/>
        <v>0</v>
      </c>
      <c r="AO33" s="90"/>
      <c r="AP33" s="143">
        <f t="shared" si="26"/>
        <v>0</v>
      </c>
      <c r="AQ33" s="90"/>
      <c r="AR33" s="143">
        <f t="shared" si="27"/>
        <v>0</v>
      </c>
      <c r="AS33" s="90"/>
      <c r="AT33" s="143">
        <f t="shared" si="28"/>
        <v>0</v>
      </c>
      <c r="AU33" s="90"/>
      <c r="AV33" s="143">
        <f t="shared" si="29"/>
        <v>0</v>
      </c>
      <c r="AW33" s="90"/>
      <c r="AX33" s="143">
        <f t="shared" si="30"/>
        <v>0</v>
      </c>
      <c r="AY33" s="49">
        <v>25</v>
      </c>
      <c r="AZ33" s="155">
        <f t="shared" si="0"/>
        <v>0</v>
      </c>
      <c r="BA33" s="143">
        <f t="shared" si="1"/>
        <v>0</v>
      </c>
      <c r="BB33" s="50">
        <v>25</v>
      </c>
      <c r="BC33" s="158">
        <f t="shared" si="2"/>
        <v>4</v>
      </c>
      <c r="BD33" s="145">
        <f t="shared" si="3"/>
        <v>12</v>
      </c>
      <c r="BE33" s="151"/>
      <c r="BF33" s="143">
        <f t="shared" si="31"/>
        <v>0</v>
      </c>
      <c r="BG33" s="151"/>
      <c r="BH33" s="143">
        <f t="shared" si="31"/>
        <v>0</v>
      </c>
      <c r="BI33" s="151"/>
      <c r="BJ33" s="143">
        <f t="shared" ref="BJ33" si="566">BI33*$E33</f>
        <v>0</v>
      </c>
      <c r="BK33" s="151"/>
      <c r="BL33" s="143">
        <f t="shared" ref="BL33" si="567">BK33*$E33</f>
        <v>0</v>
      </c>
      <c r="BM33" s="151"/>
      <c r="BN33" s="143">
        <f t="shared" ref="BN33" si="568">BM33*$E33</f>
        <v>0</v>
      </c>
      <c r="BO33" s="151"/>
      <c r="BP33" s="143">
        <f t="shared" ref="BP33" si="569">BO33*$E33</f>
        <v>0</v>
      </c>
      <c r="BQ33" s="151"/>
      <c r="BR33" s="143">
        <f t="shared" ref="BR33" si="570">BQ33*$E33</f>
        <v>0</v>
      </c>
      <c r="BS33" s="151"/>
      <c r="BT33" s="143">
        <f t="shared" ref="BT33" si="571">BS33*$E33</f>
        <v>0</v>
      </c>
      <c r="BU33" s="151"/>
      <c r="BV33" s="143">
        <f t="shared" ref="BV33" si="572">BU33*$E33</f>
        <v>0</v>
      </c>
      <c r="BW33" s="151"/>
      <c r="BX33" s="143">
        <f t="shared" ref="BX33" si="573">BW33*$E33</f>
        <v>0</v>
      </c>
      <c r="BY33" s="151"/>
      <c r="BZ33" s="143">
        <f t="shared" ref="BZ33" si="574">BY33*$E33</f>
        <v>0</v>
      </c>
      <c r="CA33" s="49">
        <v>29</v>
      </c>
      <c r="CB33" s="149">
        <f t="shared" si="41"/>
        <v>0</v>
      </c>
      <c r="CC33" s="143">
        <f t="shared" si="4"/>
        <v>0</v>
      </c>
      <c r="CD33" s="49">
        <v>25</v>
      </c>
      <c r="CE33" s="48" t="str">
        <f t="shared" si="5"/>
        <v>Wine Red</v>
      </c>
      <c r="CF33" s="174">
        <f t="shared" si="6"/>
        <v>4</v>
      </c>
      <c r="CG33" s="162" t="str">
        <f t="shared" si="7"/>
        <v>btl</v>
      </c>
      <c r="CH33" s="160">
        <f t="shared" si="8"/>
        <v>3</v>
      </c>
      <c r="CI33" s="160">
        <f t="shared" si="42"/>
        <v>12</v>
      </c>
      <c r="CJ33" s="45">
        <f t="shared" si="43"/>
        <v>10.308</v>
      </c>
    </row>
    <row r="34" spans="1:88" ht="15" x14ac:dyDescent="0.25">
      <c r="A34" s="46">
        <v>26</v>
      </c>
      <c r="B34" s="51" t="s">
        <v>47</v>
      </c>
      <c r="C34" s="52">
        <v>24</v>
      </c>
      <c r="D34" s="42" t="s">
        <v>5</v>
      </c>
      <c r="E34" s="170">
        <v>1</v>
      </c>
      <c r="F34" s="167">
        <f t="shared" si="436"/>
        <v>24</v>
      </c>
      <c r="G34" s="91"/>
      <c r="H34" s="143">
        <f t="shared" si="9"/>
        <v>0</v>
      </c>
      <c r="I34" s="91"/>
      <c r="J34" s="143">
        <f t="shared" ref="J34" si="575">I34*$E34</f>
        <v>0</v>
      </c>
      <c r="K34" s="91"/>
      <c r="L34" s="143">
        <f t="shared" ref="L34" si="576">K34*$E34</f>
        <v>0</v>
      </c>
      <c r="M34" s="106"/>
      <c r="N34" s="144">
        <f t="shared" ref="N34" si="577">M34*$E34</f>
        <v>0</v>
      </c>
      <c r="O34" s="91"/>
      <c r="P34" s="145">
        <f t="shared" ref="P34" si="578">O34*$E34</f>
        <v>0</v>
      </c>
      <c r="Q34" s="91"/>
      <c r="R34" s="143">
        <f t="shared" ref="R34" si="579">Q34*$E34</f>
        <v>0</v>
      </c>
      <c r="S34" s="91"/>
      <c r="T34" s="143">
        <f t="shared" ref="T34" si="580">S34*$E34</f>
        <v>0</v>
      </c>
      <c r="U34" s="91"/>
      <c r="V34" s="143">
        <f t="shared" ref="V34" si="581">U34*$E34</f>
        <v>0</v>
      </c>
      <c r="W34" s="91"/>
      <c r="X34" s="143">
        <f t="shared" ref="X34" si="582">W34*$E34</f>
        <v>0</v>
      </c>
      <c r="Y34" s="91"/>
      <c r="Z34" s="143">
        <f t="shared" ref="Z34" si="583">Y34*$E34</f>
        <v>0</v>
      </c>
      <c r="AA34" s="91"/>
      <c r="AB34" s="143">
        <f t="shared" ref="AB34" si="584">AA34*$E34</f>
        <v>0</v>
      </c>
      <c r="AC34" s="91"/>
      <c r="AD34" s="143">
        <f t="shared" ref="AD34" si="585">AC34*$E34</f>
        <v>0</v>
      </c>
      <c r="AE34" s="91"/>
      <c r="AF34" s="143">
        <f t="shared" ref="AF34" si="586">AE34*$E34</f>
        <v>0</v>
      </c>
      <c r="AG34" s="91"/>
      <c r="AH34" s="143">
        <f t="shared" ref="AH34" si="587">AG34*$E34</f>
        <v>0</v>
      </c>
      <c r="AI34" s="91"/>
      <c r="AJ34" s="143">
        <f t="shared" ref="AJ34" si="588">AI34*$E34</f>
        <v>0</v>
      </c>
      <c r="AK34" s="91"/>
      <c r="AL34" s="143">
        <f t="shared" si="24"/>
        <v>0</v>
      </c>
      <c r="AM34" s="91"/>
      <c r="AN34" s="143">
        <f t="shared" si="25"/>
        <v>0</v>
      </c>
      <c r="AO34" s="91"/>
      <c r="AP34" s="143">
        <f t="shared" si="26"/>
        <v>0</v>
      </c>
      <c r="AQ34" s="91"/>
      <c r="AR34" s="143">
        <f t="shared" si="27"/>
        <v>0</v>
      </c>
      <c r="AS34" s="91"/>
      <c r="AT34" s="143">
        <f t="shared" si="28"/>
        <v>0</v>
      </c>
      <c r="AU34" s="91"/>
      <c r="AV34" s="143">
        <f t="shared" si="29"/>
        <v>0</v>
      </c>
      <c r="AW34" s="91"/>
      <c r="AX34" s="143">
        <f t="shared" si="30"/>
        <v>0</v>
      </c>
      <c r="AY34" s="46">
        <v>26</v>
      </c>
      <c r="AZ34" s="155">
        <f t="shared" si="0"/>
        <v>0</v>
      </c>
      <c r="BA34" s="143">
        <f t="shared" si="1"/>
        <v>0</v>
      </c>
      <c r="BB34" s="47">
        <v>26</v>
      </c>
      <c r="BC34" s="158">
        <f t="shared" si="2"/>
        <v>24</v>
      </c>
      <c r="BD34" s="145">
        <f t="shared" si="3"/>
        <v>24</v>
      </c>
      <c r="BE34" s="152"/>
      <c r="BF34" s="143">
        <f t="shared" si="31"/>
        <v>0</v>
      </c>
      <c r="BG34" s="152"/>
      <c r="BH34" s="143">
        <f t="shared" si="31"/>
        <v>0</v>
      </c>
      <c r="BI34" s="152"/>
      <c r="BJ34" s="143">
        <f t="shared" ref="BJ34" si="589">BI34*$E34</f>
        <v>0</v>
      </c>
      <c r="BK34" s="152"/>
      <c r="BL34" s="143">
        <f t="shared" ref="BL34" si="590">BK34*$E34</f>
        <v>0</v>
      </c>
      <c r="BM34" s="152"/>
      <c r="BN34" s="143">
        <f t="shared" ref="BN34" si="591">BM34*$E34</f>
        <v>0</v>
      </c>
      <c r="BO34" s="152"/>
      <c r="BP34" s="143">
        <f t="shared" ref="BP34" si="592">BO34*$E34</f>
        <v>0</v>
      </c>
      <c r="BQ34" s="152"/>
      <c r="BR34" s="143">
        <f t="shared" ref="BR34" si="593">BQ34*$E34</f>
        <v>0</v>
      </c>
      <c r="BS34" s="152"/>
      <c r="BT34" s="143">
        <f t="shared" ref="BT34" si="594">BS34*$E34</f>
        <v>0</v>
      </c>
      <c r="BU34" s="152"/>
      <c r="BV34" s="143">
        <f t="shared" ref="BV34" si="595">BU34*$E34</f>
        <v>0</v>
      </c>
      <c r="BW34" s="152"/>
      <c r="BX34" s="143">
        <f t="shared" ref="BX34" si="596">BW34*$E34</f>
        <v>0</v>
      </c>
      <c r="BY34" s="152"/>
      <c r="BZ34" s="143">
        <f t="shared" ref="BZ34" si="597">BY34*$E34</f>
        <v>0</v>
      </c>
      <c r="CA34" s="49">
        <v>30</v>
      </c>
      <c r="CB34" s="149">
        <f t="shared" si="41"/>
        <v>0</v>
      </c>
      <c r="CC34" s="143">
        <f t="shared" si="4"/>
        <v>0</v>
      </c>
      <c r="CD34" s="46">
        <v>26</v>
      </c>
      <c r="CE34" s="48" t="str">
        <f t="shared" si="5"/>
        <v>Bounty</v>
      </c>
      <c r="CF34" s="174">
        <f t="shared" si="6"/>
        <v>24</v>
      </c>
      <c r="CG34" s="162" t="str">
        <f t="shared" si="7"/>
        <v>pcs</v>
      </c>
      <c r="CH34" s="160">
        <f t="shared" si="8"/>
        <v>1</v>
      </c>
      <c r="CI34" s="160">
        <f t="shared" si="42"/>
        <v>24</v>
      </c>
      <c r="CJ34" s="45">
        <f t="shared" si="43"/>
        <v>20.616</v>
      </c>
    </row>
    <row r="35" spans="1:88" ht="15" x14ac:dyDescent="0.25">
      <c r="A35" s="49">
        <v>27</v>
      </c>
      <c r="B35" s="51" t="s">
        <v>48</v>
      </c>
      <c r="C35" s="52">
        <v>8</v>
      </c>
      <c r="D35" s="42" t="s">
        <v>5</v>
      </c>
      <c r="E35" s="170">
        <v>2.5</v>
      </c>
      <c r="F35" s="167">
        <f t="shared" si="436"/>
        <v>20</v>
      </c>
      <c r="G35" s="90"/>
      <c r="H35" s="143">
        <f t="shared" si="9"/>
        <v>0</v>
      </c>
      <c r="I35" s="90"/>
      <c r="J35" s="143">
        <f t="shared" ref="J35" si="598">I35*$E35</f>
        <v>0</v>
      </c>
      <c r="K35" s="90"/>
      <c r="L35" s="143">
        <f t="shared" ref="L35" si="599">K35*$E35</f>
        <v>0</v>
      </c>
      <c r="M35" s="90"/>
      <c r="N35" s="144">
        <f t="shared" ref="N35" si="600">M35*$E35</f>
        <v>0</v>
      </c>
      <c r="O35" s="90"/>
      <c r="P35" s="145">
        <f t="shared" ref="P35" si="601">O35*$E35</f>
        <v>0</v>
      </c>
      <c r="Q35" s="90"/>
      <c r="R35" s="143">
        <f t="shared" ref="R35" si="602">Q35*$E35</f>
        <v>0</v>
      </c>
      <c r="S35" s="90"/>
      <c r="T35" s="143">
        <f t="shared" ref="T35" si="603">S35*$E35</f>
        <v>0</v>
      </c>
      <c r="U35" s="90"/>
      <c r="V35" s="143">
        <f t="shared" ref="V35" si="604">U35*$E35</f>
        <v>0</v>
      </c>
      <c r="W35" s="90"/>
      <c r="X35" s="143">
        <f t="shared" ref="X35" si="605">W35*$E35</f>
        <v>0</v>
      </c>
      <c r="Y35" s="90"/>
      <c r="Z35" s="143">
        <f t="shared" ref="Z35" si="606">Y35*$E35</f>
        <v>0</v>
      </c>
      <c r="AA35" s="90"/>
      <c r="AB35" s="143">
        <f t="shared" ref="AB35" si="607">AA35*$E35</f>
        <v>0</v>
      </c>
      <c r="AC35" s="90"/>
      <c r="AD35" s="143">
        <f t="shared" ref="AD35" si="608">AC35*$E35</f>
        <v>0</v>
      </c>
      <c r="AE35" s="90"/>
      <c r="AF35" s="143">
        <f t="shared" ref="AF35" si="609">AE35*$E35</f>
        <v>0</v>
      </c>
      <c r="AG35" s="90"/>
      <c r="AH35" s="143">
        <f t="shared" ref="AH35" si="610">AG35*$E35</f>
        <v>0</v>
      </c>
      <c r="AI35" s="90"/>
      <c r="AJ35" s="143">
        <f t="shared" ref="AJ35" si="611">AI35*$E35</f>
        <v>0</v>
      </c>
      <c r="AK35" s="90"/>
      <c r="AL35" s="143">
        <f t="shared" si="24"/>
        <v>0</v>
      </c>
      <c r="AM35" s="90"/>
      <c r="AN35" s="143">
        <f t="shared" si="25"/>
        <v>0</v>
      </c>
      <c r="AO35" s="90"/>
      <c r="AP35" s="143">
        <f t="shared" si="26"/>
        <v>0</v>
      </c>
      <c r="AQ35" s="90"/>
      <c r="AR35" s="143">
        <f t="shared" si="27"/>
        <v>0</v>
      </c>
      <c r="AS35" s="90"/>
      <c r="AT35" s="143">
        <f t="shared" si="28"/>
        <v>0</v>
      </c>
      <c r="AU35" s="90"/>
      <c r="AV35" s="143">
        <f t="shared" si="29"/>
        <v>0</v>
      </c>
      <c r="AW35" s="90"/>
      <c r="AX35" s="143">
        <f t="shared" si="30"/>
        <v>0</v>
      </c>
      <c r="AY35" s="49">
        <v>27</v>
      </c>
      <c r="AZ35" s="155">
        <f t="shared" si="0"/>
        <v>0</v>
      </c>
      <c r="BA35" s="143">
        <f t="shared" si="1"/>
        <v>0</v>
      </c>
      <c r="BB35" s="50">
        <v>27</v>
      </c>
      <c r="BC35" s="158">
        <f t="shared" si="2"/>
        <v>8</v>
      </c>
      <c r="BD35" s="145">
        <f t="shared" si="3"/>
        <v>20</v>
      </c>
      <c r="BE35" s="151"/>
      <c r="BF35" s="143">
        <f t="shared" si="31"/>
        <v>0</v>
      </c>
      <c r="BG35" s="151"/>
      <c r="BH35" s="143">
        <f t="shared" si="31"/>
        <v>0</v>
      </c>
      <c r="BI35" s="151"/>
      <c r="BJ35" s="143">
        <f t="shared" ref="BJ35" si="612">BI35*$E35</f>
        <v>0</v>
      </c>
      <c r="BK35" s="151"/>
      <c r="BL35" s="143">
        <f t="shared" ref="BL35" si="613">BK35*$E35</f>
        <v>0</v>
      </c>
      <c r="BM35" s="151"/>
      <c r="BN35" s="143">
        <f t="shared" ref="BN35" si="614">BM35*$E35</f>
        <v>0</v>
      </c>
      <c r="BO35" s="151"/>
      <c r="BP35" s="143">
        <f t="shared" ref="BP35" si="615">BO35*$E35</f>
        <v>0</v>
      </c>
      <c r="BQ35" s="151"/>
      <c r="BR35" s="143">
        <f t="shared" ref="BR35" si="616">BQ35*$E35</f>
        <v>0</v>
      </c>
      <c r="BS35" s="151"/>
      <c r="BT35" s="143">
        <f t="shared" ref="BT35" si="617">BS35*$E35</f>
        <v>0</v>
      </c>
      <c r="BU35" s="151"/>
      <c r="BV35" s="143">
        <f t="shared" ref="BV35" si="618">BU35*$E35</f>
        <v>0</v>
      </c>
      <c r="BW35" s="151"/>
      <c r="BX35" s="143">
        <f t="shared" ref="BX35" si="619">BW35*$E35</f>
        <v>0</v>
      </c>
      <c r="BY35" s="151"/>
      <c r="BZ35" s="143">
        <f t="shared" ref="BZ35" si="620">BY35*$E35</f>
        <v>0</v>
      </c>
      <c r="CA35" s="46">
        <v>31</v>
      </c>
      <c r="CB35" s="149">
        <f t="shared" si="41"/>
        <v>0</v>
      </c>
      <c r="CC35" s="143">
        <f t="shared" si="4"/>
        <v>0</v>
      </c>
      <c r="CD35" s="49">
        <v>27</v>
      </c>
      <c r="CE35" s="48" t="str">
        <f t="shared" si="5"/>
        <v>Pringles Hot&amp;Spicy</v>
      </c>
      <c r="CF35" s="174">
        <f t="shared" si="6"/>
        <v>8</v>
      </c>
      <c r="CG35" s="162" t="str">
        <f t="shared" si="7"/>
        <v>pcs</v>
      </c>
      <c r="CH35" s="160">
        <f t="shared" si="8"/>
        <v>2.5</v>
      </c>
      <c r="CI35" s="160">
        <f t="shared" si="42"/>
        <v>20</v>
      </c>
      <c r="CJ35" s="45">
        <f t="shared" si="43"/>
        <v>17.18</v>
      </c>
    </row>
    <row r="36" spans="1:88" ht="15" x14ac:dyDescent="0.25">
      <c r="A36" s="46">
        <v>28</v>
      </c>
      <c r="B36" s="51" t="s">
        <v>49</v>
      </c>
      <c r="C36" s="52">
        <v>1</v>
      </c>
      <c r="D36" s="42" t="s">
        <v>19</v>
      </c>
      <c r="E36" s="170">
        <v>4.5999999999999996</v>
      </c>
      <c r="F36" s="167">
        <f t="shared" si="436"/>
        <v>4.5999999999999996</v>
      </c>
      <c r="G36" s="91"/>
      <c r="H36" s="143">
        <f t="shared" si="9"/>
        <v>0</v>
      </c>
      <c r="I36" s="91"/>
      <c r="J36" s="143">
        <f t="shared" ref="J36" si="621">I36*$E36</f>
        <v>0</v>
      </c>
      <c r="K36" s="90"/>
      <c r="L36" s="143">
        <f t="shared" ref="L36" si="622">K36*$E36</f>
        <v>0</v>
      </c>
      <c r="M36" s="90"/>
      <c r="N36" s="144">
        <f t="shared" ref="N36" si="623">M36*$E36</f>
        <v>0</v>
      </c>
      <c r="O36" s="90"/>
      <c r="P36" s="145">
        <f t="shared" ref="P36" si="624">O36*$E36</f>
        <v>0</v>
      </c>
      <c r="Q36" s="91"/>
      <c r="R36" s="143">
        <f t="shared" ref="R36" si="625">Q36*$E36</f>
        <v>0</v>
      </c>
      <c r="S36" s="90"/>
      <c r="T36" s="143">
        <f t="shared" ref="T36" si="626">S36*$E36</f>
        <v>0</v>
      </c>
      <c r="U36" s="90"/>
      <c r="V36" s="143">
        <f t="shared" ref="V36" si="627">U36*$E36</f>
        <v>0</v>
      </c>
      <c r="W36" s="91"/>
      <c r="X36" s="143">
        <f t="shared" ref="X36" si="628">W36*$E36</f>
        <v>0</v>
      </c>
      <c r="Y36" s="90"/>
      <c r="Z36" s="143">
        <f t="shared" ref="Z36" si="629">Y36*$E36</f>
        <v>0</v>
      </c>
      <c r="AA36" s="91"/>
      <c r="AB36" s="143">
        <f t="shared" ref="AB36" si="630">AA36*$E36</f>
        <v>0</v>
      </c>
      <c r="AC36" s="90"/>
      <c r="AD36" s="143">
        <f t="shared" ref="AD36" si="631">AC36*$E36</f>
        <v>0</v>
      </c>
      <c r="AE36" s="90"/>
      <c r="AF36" s="143">
        <f t="shared" ref="AF36" si="632">AE36*$E36</f>
        <v>0</v>
      </c>
      <c r="AG36" s="90"/>
      <c r="AH36" s="143">
        <f t="shared" ref="AH36" si="633">AG36*$E36</f>
        <v>0</v>
      </c>
      <c r="AI36" s="91"/>
      <c r="AJ36" s="143">
        <f t="shared" ref="AJ36" si="634">AI36*$E36</f>
        <v>0</v>
      </c>
      <c r="AK36" s="91"/>
      <c r="AL36" s="143">
        <f t="shared" si="24"/>
        <v>0</v>
      </c>
      <c r="AM36" s="91"/>
      <c r="AN36" s="143">
        <f t="shared" si="25"/>
        <v>0</v>
      </c>
      <c r="AO36" s="91"/>
      <c r="AP36" s="143">
        <f t="shared" si="26"/>
        <v>0</v>
      </c>
      <c r="AQ36" s="91"/>
      <c r="AR36" s="143">
        <f t="shared" si="27"/>
        <v>0</v>
      </c>
      <c r="AS36" s="91"/>
      <c r="AT36" s="143">
        <f t="shared" si="28"/>
        <v>0</v>
      </c>
      <c r="AU36" s="91"/>
      <c r="AV36" s="143">
        <f t="shared" si="29"/>
        <v>0</v>
      </c>
      <c r="AW36" s="91"/>
      <c r="AX36" s="143">
        <f t="shared" si="30"/>
        <v>0</v>
      </c>
      <c r="AY36" s="46">
        <v>28</v>
      </c>
      <c r="AZ36" s="155">
        <f t="shared" si="0"/>
        <v>0</v>
      </c>
      <c r="BA36" s="143">
        <f t="shared" si="1"/>
        <v>0</v>
      </c>
      <c r="BB36" s="47">
        <v>28</v>
      </c>
      <c r="BC36" s="158">
        <f t="shared" si="2"/>
        <v>1</v>
      </c>
      <c r="BD36" s="145">
        <f t="shared" si="3"/>
        <v>4.5999999999999996</v>
      </c>
      <c r="BE36" s="151"/>
      <c r="BF36" s="143">
        <f t="shared" si="31"/>
        <v>0</v>
      </c>
      <c r="BG36" s="151"/>
      <c r="BH36" s="143">
        <f t="shared" si="31"/>
        <v>0</v>
      </c>
      <c r="BI36" s="151"/>
      <c r="BJ36" s="143">
        <f t="shared" ref="BJ36" si="635">BI36*$E36</f>
        <v>0</v>
      </c>
      <c r="BK36" s="151"/>
      <c r="BL36" s="143">
        <f t="shared" ref="BL36" si="636">BK36*$E36</f>
        <v>0</v>
      </c>
      <c r="BM36" s="151"/>
      <c r="BN36" s="143">
        <f t="shared" ref="BN36" si="637">BM36*$E36</f>
        <v>0</v>
      </c>
      <c r="BO36" s="151"/>
      <c r="BP36" s="143">
        <f t="shared" ref="BP36" si="638">BO36*$E36</f>
        <v>0</v>
      </c>
      <c r="BQ36" s="151"/>
      <c r="BR36" s="143">
        <f t="shared" ref="BR36" si="639">BQ36*$E36</f>
        <v>0</v>
      </c>
      <c r="BS36" s="151"/>
      <c r="BT36" s="143">
        <f t="shared" ref="BT36" si="640">BS36*$E36</f>
        <v>0</v>
      </c>
      <c r="BU36" s="151"/>
      <c r="BV36" s="143">
        <f t="shared" ref="BV36" si="641">BU36*$E36</f>
        <v>0</v>
      </c>
      <c r="BW36" s="151"/>
      <c r="BX36" s="143">
        <f t="shared" ref="BX36" si="642">BW36*$E36</f>
        <v>0</v>
      </c>
      <c r="BY36" s="151"/>
      <c r="BZ36" s="143">
        <f t="shared" ref="BZ36" si="643">BY36*$E36</f>
        <v>0</v>
      </c>
      <c r="CA36" s="49">
        <v>32</v>
      </c>
      <c r="CB36" s="149">
        <f t="shared" si="41"/>
        <v>0</v>
      </c>
      <c r="CC36" s="143">
        <f t="shared" si="4"/>
        <v>0</v>
      </c>
      <c r="CD36" s="46">
        <v>28</v>
      </c>
      <c r="CE36" s="48" t="str">
        <f t="shared" si="5"/>
        <v>Pistacos salted</v>
      </c>
      <c r="CF36" s="174">
        <f t="shared" si="6"/>
        <v>1</v>
      </c>
      <c r="CG36" s="162" t="str">
        <f t="shared" si="7"/>
        <v>pkt</v>
      </c>
      <c r="CH36" s="160">
        <f t="shared" si="8"/>
        <v>4.5999999999999996</v>
      </c>
      <c r="CI36" s="160">
        <f t="shared" si="42"/>
        <v>4.5999999999999996</v>
      </c>
      <c r="CJ36" s="45">
        <f t="shared" si="43"/>
        <v>3.9513999999999996</v>
      </c>
    </row>
    <row r="37" spans="1:88" ht="15" x14ac:dyDescent="0.25">
      <c r="A37" s="49">
        <v>29</v>
      </c>
      <c r="B37" s="51" t="s">
        <v>50</v>
      </c>
      <c r="C37" s="53">
        <v>18</v>
      </c>
      <c r="D37" s="42" t="s">
        <v>51</v>
      </c>
      <c r="E37" s="170">
        <v>1.5</v>
      </c>
      <c r="F37" s="167">
        <f t="shared" si="436"/>
        <v>27</v>
      </c>
      <c r="G37" s="90"/>
      <c r="H37" s="143">
        <f t="shared" si="9"/>
        <v>0</v>
      </c>
      <c r="I37" s="90"/>
      <c r="J37" s="143">
        <f t="shared" ref="J37" si="644">I37*$E37</f>
        <v>0</v>
      </c>
      <c r="K37" s="90"/>
      <c r="L37" s="143">
        <f t="shared" ref="L37" si="645">K37*$E37</f>
        <v>0</v>
      </c>
      <c r="M37" s="90"/>
      <c r="N37" s="144">
        <f t="shared" ref="N37" si="646">M37*$E37</f>
        <v>0</v>
      </c>
      <c r="O37" s="90"/>
      <c r="P37" s="145">
        <f t="shared" ref="P37" si="647">O37*$E37</f>
        <v>0</v>
      </c>
      <c r="Q37" s="90"/>
      <c r="R37" s="143">
        <f t="shared" ref="R37" si="648">Q37*$E37</f>
        <v>0</v>
      </c>
      <c r="S37" s="90"/>
      <c r="T37" s="143">
        <f t="shared" ref="T37" si="649">S37*$E37</f>
        <v>0</v>
      </c>
      <c r="U37" s="90"/>
      <c r="V37" s="143">
        <f t="shared" ref="V37" si="650">U37*$E37</f>
        <v>0</v>
      </c>
      <c r="W37" s="90"/>
      <c r="X37" s="143">
        <f t="shared" ref="X37" si="651">W37*$E37</f>
        <v>0</v>
      </c>
      <c r="Y37" s="90"/>
      <c r="Z37" s="143">
        <f t="shared" ref="Z37" si="652">Y37*$E37</f>
        <v>0</v>
      </c>
      <c r="AA37" s="90"/>
      <c r="AB37" s="143">
        <f t="shared" ref="AB37" si="653">AA37*$E37</f>
        <v>0</v>
      </c>
      <c r="AC37" s="90"/>
      <c r="AD37" s="143">
        <f t="shared" ref="AD37" si="654">AC37*$E37</f>
        <v>0</v>
      </c>
      <c r="AE37" s="90"/>
      <c r="AF37" s="143">
        <f t="shared" ref="AF37" si="655">AE37*$E37</f>
        <v>0</v>
      </c>
      <c r="AG37" s="90"/>
      <c r="AH37" s="143">
        <f t="shared" ref="AH37" si="656">AG37*$E37</f>
        <v>0</v>
      </c>
      <c r="AI37" s="90"/>
      <c r="AJ37" s="143">
        <f t="shared" ref="AJ37" si="657">AI37*$E37</f>
        <v>0</v>
      </c>
      <c r="AK37" s="90"/>
      <c r="AL37" s="143">
        <f t="shared" si="24"/>
        <v>0</v>
      </c>
      <c r="AM37" s="90"/>
      <c r="AN37" s="143">
        <f t="shared" si="25"/>
        <v>0</v>
      </c>
      <c r="AO37" s="90"/>
      <c r="AP37" s="143">
        <f t="shared" si="26"/>
        <v>0</v>
      </c>
      <c r="AQ37" s="90"/>
      <c r="AR37" s="143">
        <f t="shared" si="27"/>
        <v>0</v>
      </c>
      <c r="AS37" s="90"/>
      <c r="AT37" s="143">
        <f t="shared" si="28"/>
        <v>0</v>
      </c>
      <c r="AU37" s="90"/>
      <c r="AV37" s="143">
        <f t="shared" si="29"/>
        <v>0</v>
      </c>
      <c r="AW37" s="90"/>
      <c r="AX37" s="143">
        <f t="shared" si="30"/>
        <v>0</v>
      </c>
      <c r="AY37" s="49">
        <v>29</v>
      </c>
      <c r="AZ37" s="155">
        <f t="shared" si="0"/>
        <v>0</v>
      </c>
      <c r="BA37" s="143">
        <f t="shared" si="1"/>
        <v>0</v>
      </c>
      <c r="BB37" s="50">
        <v>29</v>
      </c>
      <c r="BC37" s="158">
        <f t="shared" si="2"/>
        <v>18</v>
      </c>
      <c r="BD37" s="145">
        <f t="shared" si="3"/>
        <v>27</v>
      </c>
      <c r="BE37" s="151"/>
      <c r="BF37" s="143">
        <f t="shared" si="31"/>
        <v>0</v>
      </c>
      <c r="BG37" s="151"/>
      <c r="BH37" s="143">
        <f t="shared" si="31"/>
        <v>0</v>
      </c>
      <c r="BI37" s="151"/>
      <c r="BJ37" s="143">
        <f t="shared" ref="BJ37" si="658">BI37*$E37</f>
        <v>0</v>
      </c>
      <c r="BK37" s="151"/>
      <c r="BL37" s="143">
        <f t="shared" ref="BL37" si="659">BK37*$E37</f>
        <v>0</v>
      </c>
      <c r="BM37" s="151"/>
      <c r="BN37" s="143">
        <f t="shared" ref="BN37" si="660">BM37*$E37</f>
        <v>0</v>
      </c>
      <c r="BO37" s="151"/>
      <c r="BP37" s="143">
        <f t="shared" ref="BP37" si="661">BO37*$E37</f>
        <v>0</v>
      </c>
      <c r="BQ37" s="151"/>
      <c r="BR37" s="143">
        <f t="shared" ref="BR37" si="662">BQ37*$E37</f>
        <v>0</v>
      </c>
      <c r="BS37" s="151"/>
      <c r="BT37" s="143">
        <f t="shared" ref="BT37" si="663">BS37*$E37</f>
        <v>0</v>
      </c>
      <c r="BU37" s="151"/>
      <c r="BV37" s="143">
        <f t="shared" ref="BV37" si="664">BU37*$E37</f>
        <v>0</v>
      </c>
      <c r="BW37" s="151"/>
      <c r="BX37" s="143">
        <f t="shared" ref="BX37" si="665">BW37*$E37</f>
        <v>0</v>
      </c>
      <c r="BY37" s="151"/>
      <c r="BZ37" s="143">
        <f t="shared" ref="BZ37" si="666">BY37*$E37</f>
        <v>0</v>
      </c>
      <c r="CA37" s="46">
        <v>33</v>
      </c>
      <c r="CB37" s="149">
        <f t="shared" si="41"/>
        <v>0</v>
      </c>
      <c r="CC37" s="143">
        <f t="shared" si="4"/>
        <v>0</v>
      </c>
      <c r="CD37" s="49">
        <v>29</v>
      </c>
      <c r="CE37" s="48" t="str">
        <f t="shared" si="5"/>
        <v>Peanuts salted</v>
      </c>
      <c r="CF37" s="174">
        <f t="shared" si="6"/>
        <v>18</v>
      </c>
      <c r="CG37" s="162" t="str">
        <f t="shared" si="7"/>
        <v>can</v>
      </c>
      <c r="CH37" s="160">
        <f t="shared" si="8"/>
        <v>1.5</v>
      </c>
      <c r="CI37" s="160">
        <f t="shared" si="42"/>
        <v>27</v>
      </c>
      <c r="CJ37" s="45">
        <f t="shared" si="43"/>
        <v>23.192999999999998</v>
      </c>
    </row>
    <row r="38" spans="1:88" ht="15" x14ac:dyDescent="0.25">
      <c r="A38" s="46">
        <v>30</v>
      </c>
      <c r="B38" s="51" t="s">
        <v>52</v>
      </c>
      <c r="C38" s="52">
        <v>9</v>
      </c>
      <c r="D38" s="42" t="s">
        <v>5</v>
      </c>
      <c r="E38" s="170">
        <v>1.8</v>
      </c>
      <c r="F38" s="167">
        <f t="shared" si="436"/>
        <v>16.2</v>
      </c>
      <c r="G38" s="91"/>
      <c r="H38" s="143">
        <f t="shared" si="9"/>
        <v>0</v>
      </c>
      <c r="I38" s="91"/>
      <c r="J38" s="143">
        <f t="shared" ref="J38" si="667">I38*$E38</f>
        <v>0</v>
      </c>
      <c r="K38" s="90"/>
      <c r="L38" s="143">
        <f t="shared" ref="L38" si="668">K38*$E38</f>
        <v>0</v>
      </c>
      <c r="M38" s="90"/>
      <c r="N38" s="144">
        <f t="shared" ref="N38" si="669">M38*$E38</f>
        <v>0</v>
      </c>
      <c r="O38" s="90"/>
      <c r="P38" s="145">
        <f t="shared" ref="P38" si="670">O38*$E38</f>
        <v>0</v>
      </c>
      <c r="Q38" s="91"/>
      <c r="R38" s="143">
        <f t="shared" ref="R38" si="671">Q38*$E38</f>
        <v>0</v>
      </c>
      <c r="S38" s="90"/>
      <c r="T38" s="143">
        <f t="shared" ref="T38" si="672">S38*$E38</f>
        <v>0</v>
      </c>
      <c r="U38" s="90"/>
      <c r="V38" s="143">
        <f t="shared" ref="V38" si="673">U38*$E38</f>
        <v>0</v>
      </c>
      <c r="W38" s="91"/>
      <c r="X38" s="143">
        <f t="shared" ref="X38" si="674">W38*$E38</f>
        <v>0</v>
      </c>
      <c r="Y38" s="90"/>
      <c r="Z38" s="143">
        <f t="shared" ref="Z38" si="675">Y38*$E38</f>
        <v>0</v>
      </c>
      <c r="AA38" s="91"/>
      <c r="AB38" s="143">
        <f t="shared" ref="AB38" si="676">AA38*$E38</f>
        <v>0</v>
      </c>
      <c r="AC38" s="90"/>
      <c r="AD38" s="143">
        <f t="shared" ref="AD38" si="677">AC38*$E38</f>
        <v>0</v>
      </c>
      <c r="AE38" s="90"/>
      <c r="AF38" s="143">
        <f t="shared" ref="AF38" si="678">AE38*$E38</f>
        <v>0</v>
      </c>
      <c r="AG38" s="90"/>
      <c r="AH38" s="143">
        <f t="shared" ref="AH38" si="679">AG38*$E38</f>
        <v>0</v>
      </c>
      <c r="AI38" s="91"/>
      <c r="AJ38" s="143">
        <f t="shared" ref="AJ38" si="680">AI38*$E38</f>
        <v>0</v>
      </c>
      <c r="AK38" s="91"/>
      <c r="AL38" s="143">
        <f t="shared" si="24"/>
        <v>0</v>
      </c>
      <c r="AM38" s="91"/>
      <c r="AN38" s="143">
        <f t="shared" si="25"/>
        <v>0</v>
      </c>
      <c r="AO38" s="91"/>
      <c r="AP38" s="143">
        <f t="shared" si="26"/>
        <v>0</v>
      </c>
      <c r="AQ38" s="91"/>
      <c r="AR38" s="143">
        <f t="shared" si="27"/>
        <v>0</v>
      </c>
      <c r="AS38" s="91"/>
      <c r="AT38" s="143">
        <f t="shared" si="28"/>
        <v>0</v>
      </c>
      <c r="AU38" s="91"/>
      <c r="AV38" s="143">
        <f t="shared" si="29"/>
        <v>0</v>
      </c>
      <c r="AW38" s="91"/>
      <c r="AX38" s="143">
        <f t="shared" si="30"/>
        <v>0</v>
      </c>
      <c r="AY38" s="46">
        <v>30</v>
      </c>
      <c r="AZ38" s="155">
        <f t="shared" si="0"/>
        <v>0</v>
      </c>
      <c r="BA38" s="143">
        <f t="shared" si="1"/>
        <v>0</v>
      </c>
      <c r="BB38" s="47">
        <v>30</v>
      </c>
      <c r="BC38" s="158">
        <f t="shared" si="2"/>
        <v>9</v>
      </c>
      <c r="BD38" s="145">
        <f t="shared" si="3"/>
        <v>16.2</v>
      </c>
      <c r="BE38" s="151"/>
      <c r="BF38" s="143">
        <f t="shared" si="31"/>
        <v>0</v>
      </c>
      <c r="BG38" s="151"/>
      <c r="BH38" s="143">
        <f t="shared" si="31"/>
        <v>0</v>
      </c>
      <c r="BI38" s="151"/>
      <c r="BJ38" s="143">
        <f t="shared" ref="BJ38" si="681">BI38*$E38</f>
        <v>0</v>
      </c>
      <c r="BK38" s="151"/>
      <c r="BL38" s="143">
        <f t="shared" ref="BL38" si="682">BK38*$E38</f>
        <v>0</v>
      </c>
      <c r="BM38" s="151"/>
      <c r="BN38" s="143">
        <f t="shared" ref="BN38" si="683">BM38*$E38</f>
        <v>0</v>
      </c>
      <c r="BO38" s="151"/>
      <c r="BP38" s="143">
        <f t="shared" ref="BP38" si="684">BO38*$E38</f>
        <v>0</v>
      </c>
      <c r="BQ38" s="151"/>
      <c r="BR38" s="143">
        <f t="shared" ref="BR38" si="685">BQ38*$E38</f>
        <v>0</v>
      </c>
      <c r="BS38" s="151"/>
      <c r="BT38" s="143">
        <f t="shared" ref="BT38" si="686">BS38*$E38</f>
        <v>0</v>
      </c>
      <c r="BU38" s="151"/>
      <c r="BV38" s="143">
        <f t="shared" ref="BV38" si="687">BU38*$E38</f>
        <v>0</v>
      </c>
      <c r="BW38" s="151"/>
      <c r="BX38" s="143">
        <f t="shared" ref="BX38" si="688">BW38*$E38</f>
        <v>0</v>
      </c>
      <c r="BY38" s="151"/>
      <c r="BZ38" s="143">
        <f t="shared" ref="BZ38" si="689">BY38*$E38</f>
        <v>0</v>
      </c>
      <c r="CA38" s="49">
        <v>34</v>
      </c>
      <c r="CB38" s="149">
        <f t="shared" si="41"/>
        <v>0</v>
      </c>
      <c r="CC38" s="143">
        <f t="shared" si="4"/>
        <v>0</v>
      </c>
      <c r="CD38" s="46">
        <v>30</v>
      </c>
      <c r="CE38" s="48" t="str">
        <f t="shared" si="5"/>
        <v>Colgate toothpaste</v>
      </c>
      <c r="CF38" s="174">
        <f t="shared" si="6"/>
        <v>9</v>
      </c>
      <c r="CG38" s="162" t="str">
        <f t="shared" si="7"/>
        <v>pcs</v>
      </c>
      <c r="CH38" s="160">
        <f t="shared" si="8"/>
        <v>1.8</v>
      </c>
      <c r="CI38" s="160">
        <f t="shared" si="42"/>
        <v>16.2</v>
      </c>
      <c r="CJ38" s="45">
        <f t="shared" si="43"/>
        <v>13.915799999999999</v>
      </c>
    </row>
    <row r="39" spans="1:88" ht="15.75" thickBot="1" x14ac:dyDescent="0.3">
      <c r="A39" s="49">
        <v>31</v>
      </c>
      <c r="B39" s="51" t="s">
        <v>53</v>
      </c>
      <c r="C39" s="52">
        <v>10</v>
      </c>
      <c r="D39" s="42" t="s">
        <v>5</v>
      </c>
      <c r="E39" s="170">
        <v>2.8</v>
      </c>
      <c r="F39" s="167">
        <f t="shared" si="436"/>
        <v>28</v>
      </c>
      <c r="G39" s="90"/>
      <c r="H39" s="143">
        <f t="shared" si="9"/>
        <v>0</v>
      </c>
      <c r="I39" s="90"/>
      <c r="J39" s="143">
        <f t="shared" ref="J39" si="690">I39*$E39</f>
        <v>0</v>
      </c>
      <c r="K39" s="90"/>
      <c r="L39" s="143">
        <f t="shared" ref="L39" si="691">K39*$E39</f>
        <v>0</v>
      </c>
      <c r="M39" s="90"/>
      <c r="N39" s="144">
        <f t="shared" ref="N39" si="692">M39*$E39</f>
        <v>0</v>
      </c>
      <c r="O39" s="90"/>
      <c r="P39" s="145">
        <f t="shared" ref="P39" si="693">O39*$E39</f>
        <v>0</v>
      </c>
      <c r="Q39" s="90"/>
      <c r="R39" s="143">
        <f t="shared" ref="R39" si="694">Q39*$E39</f>
        <v>0</v>
      </c>
      <c r="S39" s="90"/>
      <c r="T39" s="143">
        <f t="shared" ref="T39" si="695">S39*$E39</f>
        <v>0</v>
      </c>
      <c r="U39" s="90"/>
      <c r="V39" s="143">
        <f t="shared" ref="V39" si="696">U39*$E39</f>
        <v>0</v>
      </c>
      <c r="W39" s="90"/>
      <c r="X39" s="143">
        <f t="shared" ref="X39" si="697">W39*$E39</f>
        <v>0</v>
      </c>
      <c r="Y39" s="90"/>
      <c r="Z39" s="143">
        <f t="shared" ref="Z39" si="698">Y39*$E39</f>
        <v>0</v>
      </c>
      <c r="AA39" s="90"/>
      <c r="AB39" s="143">
        <f t="shared" ref="AB39" si="699">AA39*$E39</f>
        <v>0</v>
      </c>
      <c r="AC39" s="90"/>
      <c r="AD39" s="143">
        <f t="shared" ref="AD39" si="700">AC39*$E39</f>
        <v>0</v>
      </c>
      <c r="AE39" s="90"/>
      <c r="AF39" s="143">
        <f t="shared" ref="AF39" si="701">AE39*$E39</f>
        <v>0</v>
      </c>
      <c r="AG39" s="90"/>
      <c r="AH39" s="143">
        <f t="shared" ref="AH39" si="702">AG39*$E39</f>
        <v>0</v>
      </c>
      <c r="AI39" s="90"/>
      <c r="AJ39" s="143">
        <f t="shared" ref="AJ39" si="703">AI39*$E39</f>
        <v>0</v>
      </c>
      <c r="AK39" s="90"/>
      <c r="AL39" s="143">
        <f t="shared" si="24"/>
        <v>0</v>
      </c>
      <c r="AM39" s="90"/>
      <c r="AN39" s="143">
        <f t="shared" si="25"/>
        <v>0</v>
      </c>
      <c r="AO39" s="90"/>
      <c r="AP39" s="143">
        <f t="shared" si="26"/>
        <v>0</v>
      </c>
      <c r="AQ39" s="90"/>
      <c r="AR39" s="143">
        <f t="shared" si="27"/>
        <v>0</v>
      </c>
      <c r="AS39" s="90"/>
      <c r="AT39" s="143">
        <f t="shared" si="28"/>
        <v>0</v>
      </c>
      <c r="AU39" s="90"/>
      <c r="AV39" s="143">
        <f t="shared" si="29"/>
        <v>0</v>
      </c>
      <c r="AW39" s="90"/>
      <c r="AX39" s="143">
        <f t="shared" si="30"/>
        <v>0</v>
      </c>
      <c r="AY39" s="49">
        <v>31</v>
      </c>
      <c r="AZ39" s="155">
        <f t="shared" si="0"/>
        <v>0</v>
      </c>
      <c r="BA39" s="143">
        <f t="shared" si="1"/>
        <v>0</v>
      </c>
      <c r="BB39" s="50">
        <v>31</v>
      </c>
      <c r="BC39" s="158">
        <f t="shared" si="2"/>
        <v>10</v>
      </c>
      <c r="BD39" s="145">
        <f t="shared" si="3"/>
        <v>28</v>
      </c>
      <c r="BE39" s="151"/>
      <c r="BF39" s="143">
        <f t="shared" si="31"/>
        <v>0</v>
      </c>
      <c r="BG39" s="151"/>
      <c r="BH39" s="143">
        <f t="shared" si="31"/>
        <v>0</v>
      </c>
      <c r="BI39" s="151"/>
      <c r="BJ39" s="143">
        <f t="shared" ref="BJ39" si="704">BI39*$E39</f>
        <v>0</v>
      </c>
      <c r="BK39" s="151"/>
      <c r="BL39" s="143">
        <f t="shared" ref="BL39" si="705">BK39*$E39</f>
        <v>0</v>
      </c>
      <c r="BM39" s="151"/>
      <c r="BN39" s="143">
        <f t="shared" ref="BN39" si="706">BM39*$E39</f>
        <v>0</v>
      </c>
      <c r="BO39" s="151"/>
      <c r="BP39" s="143">
        <f t="shared" ref="BP39" si="707">BO39*$E39</f>
        <v>0</v>
      </c>
      <c r="BQ39" s="151"/>
      <c r="BR39" s="143">
        <f t="shared" ref="BR39" si="708">BQ39*$E39</f>
        <v>0</v>
      </c>
      <c r="BS39" s="151"/>
      <c r="BT39" s="143">
        <f t="shared" ref="BT39" si="709">BS39*$E39</f>
        <v>0</v>
      </c>
      <c r="BU39" s="151"/>
      <c r="BV39" s="143">
        <f t="shared" ref="BV39" si="710">BU39*$E39</f>
        <v>0</v>
      </c>
      <c r="BW39" s="151"/>
      <c r="BX39" s="143">
        <f t="shared" ref="BX39" si="711">BW39*$E39</f>
        <v>0</v>
      </c>
      <c r="BY39" s="151"/>
      <c r="BZ39" s="143">
        <f t="shared" ref="BZ39" si="712">BY39*$E39</f>
        <v>0</v>
      </c>
      <c r="CA39" s="46">
        <v>35</v>
      </c>
      <c r="CB39" s="149">
        <f t="shared" si="41"/>
        <v>0</v>
      </c>
      <c r="CC39" s="143">
        <f t="shared" si="4"/>
        <v>0</v>
      </c>
      <c r="CD39" s="49">
        <v>31</v>
      </c>
      <c r="CE39" s="48" t="str">
        <f t="shared" si="5"/>
        <v>Shauma Shampoo</v>
      </c>
      <c r="CF39" s="174">
        <f t="shared" si="6"/>
        <v>10</v>
      </c>
      <c r="CG39" s="162" t="str">
        <f t="shared" si="7"/>
        <v>pcs</v>
      </c>
      <c r="CH39" s="160">
        <f t="shared" si="8"/>
        <v>2.8</v>
      </c>
      <c r="CI39" s="160">
        <f t="shared" si="42"/>
        <v>28</v>
      </c>
      <c r="CJ39" s="45">
        <f t="shared" si="43"/>
        <v>24.052</v>
      </c>
    </row>
    <row r="40" spans="1:88" ht="15" hidden="1" x14ac:dyDescent="0.25">
      <c r="A40" s="46">
        <v>32</v>
      </c>
      <c r="B40" s="51"/>
      <c r="C40" s="52"/>
      <c r="D40" s="42"/>
      <c r="E40" s="170"/>
      <c r="F40" s="167">
        <f t="shared" si="436"/>
        <v>0</v>
      </c>
      <c r="G40" s="91"/>
      <c r="H40" s="143">
        <f t="shared" si="9"/>
        <v>0</v>
      </c>
      <c r="I40" s="91"/>
      <c r="J40" s="143">
        <f t="shared" ref="J40" si="713">I40*$E40</f>
        <v>0</v>
      </c>
      <c r="K40" s="104"/>
      <c r="L40" s="143">
        <f t="shared" ref="L40" si="714">K40*$E40</f>
        <v>0</v>
      </c>
      <c r="M40" s="104"/>
      <c r="N40" s="144">
        <f t="shared" ref="N40" si="715">M40*$E40</f>
        <v>0</v>
      </c>
      <c r="O40" s="104"/>
      <c r="P40" s="145">
        <f t="shared" ref="P40" si="716">O40*$E40</f>
        <v>0</v>
      </c>
      <c r="Q40" s="91"/>
      <c r="R40" s="143">
        <f t="shared" ref="R40" si="717">Q40*$E40</f>
        <v>0</v>
      </c>
      <c r="S40" s="104"/>
      <c r="T40" s="143">
        <f t="shared" ref="T40" si="718">S40*$E40</f>
        <v>0</v>
      </c>
      <c r="U40" s="104"/>
      <c r="V40" s="143">
        <f t="shared" ref="V40" si="719">U40*$E40</f>
        <v>0</v>
      </c>
      <c r="W40" s="91"/>
      <c r="X40" s="143">
        <f t="shared" ref="X40" si="720">W40*$E40</f>
        <v>0</v>
      </c>
      <c r="Y40" s="104"/>
      <c r="Z40" s="143">
        <f t="shared" ref="Z40" si="721">Y40*$E40</f>
        <v>0</v>
      </c>
      <c r="AA40" s="91"/>
      <c r="AB40" s="143">
        <f t="shared" ref="AB40" si="722">AA40*$E40</f>
        <v>0</v>
      </c>
      <c r="AC40" s="104"/>
      <c r="AD40" s="143">
        <f t="shared" ref="AD40" si="723">AC40*$E40</f>
        <v>0</v>
      </c>
      <c r="AE40" s="104"/>
      <c r="AF40" s="143">
        <f t="shared" ref="AF40" si="724">AE40*$E40</f>
        <v>0</v>
      </c>
      <c r="AG40" s="104"/>
      <c r="AH40" s="143">
        <f t="shared" ref="AH40" si="725">AG40*$E40</f>
        <v>0</v>
      </c>
      <c r="AI40" s="91"/>
      <c r="AJ40" s="143">
        <f t="shared" ref="AJ40" si="726">AI40*$E40</f>
        <v>0</v>
      </c>
      <c r="AK40" s="91"/>
      <c r="AL40" s="143">
        <f t="shared" si="24"/>
        <v>0</v>
      </c>
      <c r="AM40" s="91"/>
      <c r="AN40" s="143">
        <f t="shared" si="25"/>
        <v>0</v>
      </c>
      <c r="AO40" s="91"/>
      <c r="AP40" s="143">
        <f t="shared" si="26"/>
        <v>0</v>
      </c>
      <c r="AQ40" s="91"/>
      <c r="AR40" s="143">
        <f t="shared" si="27"/>
        <v>0</v>
      </c>
      <c r="AS40" s="91"/>
      <c r="AT40" s="143">
        <f t="shared" si="28"/>
        <v>0</v>
      </c>
      <c r="AU40" s="91"/>
      <c r="AV40" s="143">
        <f t="shared" si="29"/>
        <v>0</v>
      </c>
      <c r="AW40" s="91"/>
      <c r="AX40" s="143">
        <f t="shared" si="30"/>
        <v>0</v>
      </c>
      <c r="AY40" s="46">
        <v>32</v>
      </c>
      <c r="AZ40" s="155">
        <f t="shared" si="0"/>
        <v>0</v>
      </c>
      <c r="BA40" s="143">
        <f t="shared" si="1"/>
        <v>0</v>
      </c>
      <c r="BB40" s="47">
        <v>32</v>
      </c>
      <c r="BC40" s="158">
        <f t="shared" si="2"/>
        <v>0</v>
      </c>
      <c r="BD40" s="145">
        <f t="shared" si="3"/>
        <v>0</v>
      </c>
      <c r="BE40" s="150"/>
      <c r="BF40" s="143">
        <f t="shared" si="31"/>
        <v>0</v>
      </c>
      <c r="BG40" s="150"/>
      <c r="BH40" s="143">
        <f t="shared" si="31"/>
        <v>0</v>
      </c>
      <c r="BI40" s="150"/>
      <c r="BJ40" s="143">
        <f t="shared" ref="BJ40" si="727">BI40*$E40</f>
        <v>0</v>
      </c>
      <c r="BK40" s="150"/>
      <c r="BL40" s="143">
        <f t="shared" ref="BL40" si="728">BK40*$E40</f>
        <v>0</v>
      </c>
      <c r="BM40" s="150"/>
      <c r="BN40" s="143">
        <f t="shared" ref="BN40" si="729">BM40*$E40</f>
        <v>0</v>
      </c>
      <c r="BO40" s="150"/>
      <c r="BP40" s="143">
        <f t="shared" ref="BP40" si="730">BO40*$E40</f>
        <v>0</v>
      </c>
      <c r="BQ40" s="150"/>
      <c r="BR40" s="143">
        <f t="shared" ref="BR40" si="731">BQ40*$E40</f>
        <v>0</v>
      </c>
      <c r="BS40" s="150"/>
      <c r="BT40" s="143">
        <f t="shared" ref="BT40" si="732">BS40*$E40</f>
        <v>0</v>
      </c>
      <c r="BU40" s="150"/>
      <c r="BV40" s="143">
        <f t="shared" ref="BV40" si="733">BU40*$E40</f>
        <v>0</v>
      </c>
      <c r="BW40" s="150"/>
      <c r="BX40" s="143">
        <f t="shared" ref="BX40" si="734">BW40*$E40</f>
        <v>0</v>
      </c>
      <c r="BY40" s="150"/>
      <c r="BZ40" s="143">
        <f t="shared" ref="BZ40" si="735">BY40*$E40</f>
        <v>0</v>
      </c>
      <c r="CA40" s="49">
        <v>36</v>
      </c>
      <c r="CB40" s="149">
        <f t="shared" si="41"/>
        <v>0</v>
      </c>
      <c r="CC40" s="143">
        <f t="shared" si="4"/>
        <v>0</v>
      </c>
      <c r="CD40" s="46">
        <v>32</v>
      </c>
      <c r="CE40" s="48">
        <f t="shared" si="5"/>
        <v>0</v>
      </c>
      <c r="CF40" s="174">
        <f t="shared" si="6"/>
        <v>0</v>
      </c>
      <c r="CG40" s="162">
        <f t="shared" si="7"/>
        <v>0</v>
      </c>
      <c r="CH40" s="160">
        <f t="shared" si="8"/>
        <v>0</v>
      </c>
      <c r="CI40" s="160">
        <f t="shared" si="42"/>
        <v>0</v>
      </c>
      <c r="CJ40" s="45">
        <f t="shared" si="43"/>
        <v>0</v>
      </c>
    </row>
    <row r="41" spans="1:88" ht="15" hidden="1" x14ac:dyDescent="0.25">
      <c r="A41" s="49">
        <v>33</v>
      </c>
      <c r="B41" s="51"/>
      <c r="C41" s="53"/>
      <c r="D41" s="42"/>
      <c r="E41" s="170"/>
      <c r="F41" s="167">
        <f t="shared" si="436"/>
        <v>0</v>
      </c>
      <c r="G41" s="90"/>
      <c r="H41" s="143">
        <f t="shared" si="9"/>
        <v>0</v>
      </c>
      <c r="I41" s="90"/>
      <c r="J41" s="143">
        <f t="shared" ref="J41" si="736">I41*$E41</f>
        <v>0</v>
      </c>
      <c r="K41" s="104"/>
      <c r="L41" s="143">
        <f t="shared" ref="L41" si="737">K41*$E41</f>
        <v>0</v>
      </c>
      <c r="M41" s="104"/>
      <c r="N41" s="144">
        <f t="shared" ref="N41" si="738">M41*$E41</f>
        <v>0</v>
      </c>
      <c r="O41" s="104"/>
      <c r="P41" s="145">
        <f t="shared" ref="P41" si="739">O41*$E41</f>
        <v>0</v>
      </c>
      <c r="Q41" s="90"/>
      <c r="R41" s="143">
        <f t="shared" ref="R41" si="740">Q41*$E41</f>
        <v>0</v>
      </c>
      <c r="S41" s="104"/>
      <c r="T41" s="143">
        <f t="shared" ref="T41" si="741">S41*$E41</f>
        <v>0</v>
      </c>
      <c r="U41" s="104"/>
      <c r="V41" s="143">
        <f t="shared" ref="V41" si="742">U41*$E41</f>
        <v>0</v>
      </c>
      <c r="W41" s="90"/>
      <c r="X41" s="143">
        <f t="shared" ref="X41" si="743">W41*$E41</f>
        <v>0</v>
      </c>
      <c r="Y41" s="104"/>
      <c r="Z41" s="143">
        <f t="shared" ref="Z41" si="744">Y41*$E41</f>
        <v>0</v>
      </c>
      <c r="AA41" s="90"/>
      <c r="AB41" s="143">
        <f t="shared" ref="AB41" si="745">AA41*$E41</f>
        <v>0</v>
      </c>
      <c r="AC41" s="104"/>
      <c r="AD41" s="143">
        <f t="shared" ref="AD41" si="746">AC41*$E41</f>
        <v>0</v>
      </c>
      <c r="AE41" s="104"/>
      <c r="AF41" s="143">
        <f t="shared" ref="AF41" si="747">AE41*$E41</f>
        <v>0</v>
      </c>
      <c r="AG41" s="104"/>
      <c r="AH41" s="143">
        <f t="shared" ref="AH41" si="748">AG41*$E41</f>
        <v>0</v>
      </c>
      <c r="AI41" s="90"/>
      <c r="AJ41" s="143">
        <f t="shared" ref="AJ41" si="749">AI41*$E41</f>
        <v>0</v>
      </c>
      <c r="AK41" s="90"/>
      <c r="AL41" s="143">
        <f t="shared" si="24"/>
        <v>0</v>
      </c>
      <c r="AM41" s="90"/>
      <c r="AN41" s="143">
        <f t="shared" si="25"/>
        <v>0</v>
      </c>
      <c r="AO41" s="90"/>
      <c r="AP41" s="143">
        <f t="shared" si="26"/>
        <v>0</v>
      </c>
      <c r="AQ41" s="90"/>
      <c r="AR41" s="143">
        <f t="shared" si="27"/>
        <v>0</v>
      </c>
      <c r="AS41" s="90"/>
      <c r="AT41" s="143">
        <f t="shared" si="28"/>
        <v>0</v>
      </c>
      <c r="AU41" s="90"/>
      <c r="AV41" s="143">
        <f t="shared" si="29"/>
        <v>0</v>
      </c>
      <c r="AW41" s="90"/>
      <c r="AX41" s="143">
        <f t="shared" si="30"/>
        <v>0</v>
      </c>
      <c r="AY41" s="49">
        <v>33</v>
      </c>
      <c r="AZ41" s="155">
        <f t="shared" ref="AZ41:AZ61" si="750">AW41+AU41+AS41+AQ41+AO41+AM41+AK41+AI41+AG41+AE41+AC41+AA41+Y41+W41+U41+S41+Q41+O41+M41+K41+I41+G41</f>
        <v>0</v>
      </c>
      <c r="BA41" s="143">
        <f t="shared" ref="BA41:BA61" si="751">AZ41*E41</f>
        <v>0</v>
      </c>
      <c r="BB41" s="50">
        <v>33</v>
      </c>
      <c r="BC41" s="158">
        <f t="shared" ref="BC41:BC61" si="752">C41-AZ41</f>
        <v>0</v>
      </c>
      <c r="BD41" s="145">
        <f t="shared" ref="BD41:BD61" si="753">BC41*E41</f>
        <v>0</v>
      </c>
      <c r="BE41" s="150"/>
      <c r="BF41" s="143">
        <f t="shared" si="31"/>
        <v>0</v>
      </c>
      <c r="BG41" s="150"/>
      <c r="BH41" s="143">
        <f t="shared" si="31"/>
        <v>0</v>
      </c>
      <c r="BI41" s="150"/>
      <c r="BJ41" s="143">
        <f t="shared" ref="BJ41" si="754">BI41*$E41</f>
        <v>0</v>
      </c>
      <c r="BK41" s="150"/>
      <c r="BL41" s="143">
        <f t="shared" ref="BL41" si="755">BK41*$E41</f>
        <v>0</v>
      </c>
      <c r="BM41" s="150"/>
      <c r="BN41" s="143">
        <f t="shared" ref="BN41" si="756">BM41*$E41</f>
        <v>0</v>
      </c>
      <c r="BO41" s="150"/>
      <c r="BP41" s="143">
        <f t="shared" ref="BP41" si="757">BO41*$E41</f>
        <v>0</v>
      </c>
      <c r="BQ41" s="150"/>
      <c r="BR41" s="143">
        <f t="shared" ref="BR41" si="758">BQ41*$E41</f>
        <v>0</v>
      </c>
      <c r="BS41" s="150"/>
      <c r="BT41" s="143">
        <f t="shared" ref="BT41" si="759">BS41*$E41</f>
        <v>0</v>
      </c>
      <c r="BU41" s="150"/>
      <c r="BV41" s="143">
        <f t="shared" ref="BV41" si="760">BU41*$E41</f>
        <v>0</v>
      </c>
      <c r="BW41" s="150"/>
      <c r="BX41" s="143">
        <f t="shared" ref="BX41" si="761">BW41*$E41</f>
        <v>0</v>
      </c>
      <c r="BY41" s="150"/>
      <c r="BZ41" s="143">
        <f t="shared" ref="BZ41" si="762">BY41*$E41</f>
        <v>0</v>
      </c>
      <c r="CA41" s="46">
        <v>37</v>
      </c>
      <c r="CB41" s="149">
        <f t="shared" si="41"/>
        <v>0</v>
      </c>
      <c r="CC41" s="143">
        <f t="shared" ref="CC41:CC61" si="763">E41*CB41</f>
        <v>0</v>
      </c>
      <c r="CD41" s="49">
        <v>33</v>
      </c>
      <c r="CE41" s="48">
        <f t="shared" ref="CE41:CE61" si="764">B41</f>
        <v>0</v>
      </c>
      <c r="CF41" s="174">
        <f t="shared" ref="CF41:CF61" si="765">C41-AZ41-CB41</f>
        <v>0</v>
      </c>
      <c r="CG41" s="162">
        <f t="shared" ref="CG41:CG61" si="766">D41</f>
        <v>0</v>
      </c>
      <c r="CH41" s="160">
        <f t="shared" ref="CH41:CH61" si="767">E41</f>
        <v>0</v>
      </c>
      <c r="CI41" s="160">
        <f t="shared" si="42"/>
        <v>0</v>
      </c>
      <c r="CJ41" s="45">
        <f t="shared" si="43"/>
        <v>0</v>
      </c>
    </row>
    <row r="42" spans="1:88" ht="15" hidden="1" x14ac:dyDescent="0.25">
      <c r="A42" s="46">
        <v>34</v>
      </c>
      <c r="B42" s="51"/>
      <c r="C42" s="52"/>
      <c r="D42" s="42"/>
      <c r="E42" s="170"/>
      <c r="F42" s="167">
        <f t="shared" si="436"/>
        <v>0</v>
      </c>
      <c r="G42" s="91"/>
      <c r="H42" s="143">
        <f t="shared" si="9"/>
        <v>0</v>
      </c>
      <c r="I42" s="91"/>
      <c r="J42" s="143">
        <f t="shared" ref="J42" si="768">I42*$E42</f>
        <v>0</v>
      </c>
      <c r="K42" s="104"/>
      <c r="L42" s="143">
        <f t="shared" ref="L42" si="769">K42*$E42</f>
        <v>0</v>
      </c>
      <c r="M42" s="104"/>
      <c r="N42" s="144">
        <f t="shared" ref="N42" si="770">M42*$E42</f>
        <v>0</v>
      </c>
      <c r="O42" s="104"/>
      <c r="P42" s="145">
        <f t="shared" ref="P42" si="771">O42*$E42</f>
        <v>0</v>
      </c>
      <c r="Q42" s="91"/>
      <c r="R42" s="143">
        <f t="shared" ref="R42" si="772">Q42*$E42</f>
        <v>0</v>
      </c>
      <c r="S42" s="104"/>
      <c r="T42" s="143">
        <f t="shared" ref="T42" si="773">S42*$E42</f>
        <v>0</v>
      </c>
      <c r="U42" s="104"/>
      <c r="V42" s="143">
        <f t="shared" ref="V42" si="774">U42*$E42</f>
        <v>0</v>
      </c>
      <c r="W42" s="91"/>
      <c r="X42" s="143">
        <f t="shared" ref="X42" si="775">W42*$E42</f>
        <v>0</v>
      </c>
      <c r="Y42" s="104"/>
      <c r="Z42" s="143">
        <f t="shared" ref="Z42" si="776">Y42*$E42</f>
        <v>0</v>
      </c>
      <c r="AA42" s="91"/>
      <c r="AB42" s="143">
        <f t="shared" ref="AB42" si="777">AA42*$E42</f>
        <v>0</v>
      </c>
      <c r="AC42" s="104"/>
      <c r="AD42" s="143">
        <f t="shared" ref="AD42" si="778">AC42*$E42</f>
        <v>0</v>
      </c>
      <c r="AE42" s="104"/>
      <c r="AF42" s="143">
        <f t="shared" ref="AF42" si="779">AE42*$E42</f>
        <v>0</v>
      </c>
      <c r="AG42" s="104"/>
      <c r="AH42" s="143">
        <f t="shared" ref="AH42" si="780">AG42*$E42</f>
        <v>0</v>
      </c>
      <c r="AI42" s="91"/>
      <c r="AJ42" s="143">
        <f t="shared" ref="AJ42" si="781">AI42*$E42</f>
        <v>0</v>
      </c>
      <c r="AK42" s="91"/>
      <c r="AL42" s="143">
        <f t="shared" si="24"/>
        <v>0</v>
      </c>
      <c r="AM42" s="91"/>
      <c r="AN42" s="143">
        <f t="shared" si="25"/>
        <v>0</v>
      </c>
      <c r="AO42" s="91"/>
      <c r="AP42" s="143">
        <f t="shared" si="26"/>
        <v>0</v>
      </c>
      <c r="AQ42" s="91"/>
      <c r="AR42" s="143">
        <f t="shared" si="27"/>
        <v>0</v>
      </c>
      <c r="AS42" s="91"/>
      <c r="AT42" s="143">
        <f t="shared" si="28"/>
        <v>0</v>
      </c>
      <c r="AU42" s="91"/>
      <c r="AV42" s="143">
        <f t="shared" si="29"/>
        <v>0</v>
      </c>
      <c r="AW42" s="91"/>
      <c r="AX42" s="143">
        <f t="shared" si="30"/>
        <v>0</v>
      </c>
      <c r="AY42" s="46">
        <v>34</v>
      </c>
      <c r="AZ42" s="155">
        <f t="shared" si="750"/>
        <v>0</v>
      </c>
      <c r="BA42" s="143">
        <f t="shared" si="751"/>
        <v>0</v>
      </c>
      <c r="BB42" s="47">
        <v>34</v>
      </c>
      <c r="BC42" s="158">
        <f t="shared" si="752"/>
        <v>0</v>
      </c>
      <c r="BD42" s="145">
        <f t="shared" si="753"/>
        <v>0</v>
      </c>
      <c r="BE42" s="150"/>
      <c r="BF42" s="143">
        <f t="shared" si="31"/>
        <v>0</v>
      </c>
      <c r="BG42" s="150"/>
      <c r="BH42" s="143">
        <f t="shared" si="31"/>
        <v>0</v>
      </c>
      <c r="BI42" s="150"/>
      <c r="BJ42" s="143">
        <f t="shared" ref="BJ42" si="782">BI42*$E42</f>
        <v>0</v>
      </c>
      <c r="BK42" s="150"/>
      <c r="BL42" s="143">
        <f t="shared" ref="BL42" si="783">BK42*$E42</f>
        <v>0</v>
      </c>
      <c r="BM42" s="150"/>
      <c r="BN42" s="143">
        <f t="shared" ref="BN42" si="784">BM42*$E42</f>
        <v>0</v>
      </c>
      <c r="BO42" s="150"/>
      <c r="BP42" s="143">
        <f t="shared" ref="BP42" si="785">BO42*$E42</f>
        <v>0</v>
      </c>
      <c r="BQ42" s="150"/>
      <c r="BR42" s="143">
        <f t="shared" ref="BR42" si="786">BQ42*$E42</f>
        <v>0</v>
      </c>
      <c r="BS42" s="150"/>
      <c r="BT42" s="143">
        <f t="shared" ref="BT42" si="787">BS42*$E42</f>
        <v>0</v>
      </c>
      <c r="BU42" s="150"/>
      <c r="BV42" s="143">
        <f t="shared" ref="BV42" si="788">BU42*$E42</f>
        <v>0</v>
      </c>
      <c r="BW42" s="150"/>
      <c r="BX42" s="143">
        <f t="shared" ref="BX42" si="789">BW42*$E42</f>
        <v>0</v>
      </c>
      <c r="BY42" s="150"/>
      <c r="BZ42" s="143">
        <f t="shared" ref="BZ42" si="790">BY42*$E42</f>
        <v>0</v>
      </c>
      <c r="CA42" s="49">
        <v>38</v>
      </c>
      <c r="CB42" s="149">
        <f t="shared" si="41"/>
        <v>0</v>
      </c>
      <c r="CC42" s="143">
        <f t="shared" si="763"/>
        <v>0</v>
      </c>
      <c r="CD42" s="46">
        <v>34</v>
      </c>
      <c r="CE42" s="48">
        <f t="shared" si="764"/>
        <v>0</v>
      </c>
      <c r="CF42" s="174">
        <f t="shared" si="765"/>
        <v>0</v>
      </c>
      <c r="CG42" s="162">
        <f t="shared" si="766"/>
        <v>0</v>
      </c>
      <c r="CH42" s="160">
        <f t="shared" si="767"/>
        <v>0</v>
      </c>
      <c r="CI42" s="160">
        <f t="shared" si="42"/>
        <v>0</v>
      </c>
      <c r="CJ42" s="45">
        <f t="shared" si="43"/>
        <v>0</v>
      </c>
    </row>
    <row r="43" spans="1:88" ht="15" hidden="1" x14ac:dyDescent="0.25">
      <c r="A43" s="49">
        <v>35</v>
      </c>
      <c r="B43" s="51"/>
      <c r="C43" s="52"/>
      <c r="D43" s="42"/>
      <c r="E43" s="170"/>
      <c r="F43" s="167">
        <f t="shared" si="436"/>
        <v>0</v>
      </c>
      <c r="G43" s="90"/>
      <c r="H43" s="143">
        <f t="shared" si="9"/>
        <v>0</v>
      </c>
      <c r="I43" s="90"/>
      <c r="J43" s="143">
        <f t="shared" ref="J43" si="791">I43*$E43</f>
        <v>0</v>
      </c>
      <c r="K43" s="104"/>
      <c r="L43" s="143">
        <f t="shared" ref="L43" si="792">K43*$E43</f>
        <v>0</v>
      </c>
      <c r="M43" s="104"/>
      <c r="N43" s="144">
        <f t="shared" ref="N43" si="793">M43*$E43</f>
        <v>0</v>
      </c>
      <c r="O43" s="104"/>
      <c r="P43" s="145">
        <f t="shared" ref="P43" si="794">O43*$E43</f>
        <v>0</v>
      </c>
      <c r="Q43" s="90"/>
      <c r="R43" s="143">
        <f t="shared" ref="R43" si="795">Q43*$E43</f>
        <v>0</v>
      </c>
      <c r="S43" s="104"/>
      <c r="T43" s="143">
        <f t="shared" ref="T43" si="796">S43*$E43</f>
        <v>0</v>
      </c>
      <c r="U43" s="104"/>
      <c r="V43" s="143">
        <f t="shared" ref="V43" si="797">U43*$E43</f>
        <v>0</v>
      </c>
      <c r="W43" s="90"/>
      <c r="X43" s="143">
        <f t="shared" ref="X43" si="798">W43*$E43</f>
        <v>0</v>
      </c>
      <c r="Y43" s="104"/>
      <c r="Z43" s="143">
        <f t="shared" ref="Z43" si="799">Y43*$E43</f>
        <v>0</v>
      </c>
      <c r="AA43" s="90"/>
      <c r="AB43" s="143">
        <f t="shared" ref="AB43" si="800">AA43*$E43</f>
        <v>0</v>
      </c>
      <c r="AC43" s="104"/>
      <c r="AD43" s="143">
        <f t="shared" ref="AD43" si="801">AC43*$E43</f>
        <v>0</v>
      </c>
      <c r="AE43" s="104"/>
      <c r="AF43" s="143">
        <f t="shared" ref="AF43" si="802">AE43*$E43</f>
        <v>0</v>
      </c>
      <c r="AG43" s="104"/>
      <c r="AH43" s="143">
        <f t="shared" ref="AH43" si="803">AG43*$E43</f>
        <v>0</v>
      </c>
      <c r="AI43" s="90"/>
      <c r="AJ43" s="143">
        <f t="shared" ref="AJ43" si="804">AI43*$E43</f>
        <v>0</v>
      </c>
      <c r="AK43" s="90"/>
      <c r="AL43" s="143">
        <f t="shared" si="24"/>
        <v>0</v>
      </c>
      <c r="AM43" s="90"/>
      <c r="AN43" s="143">
        <f t="shared" si="25"/>
        <v>0</v>
      </c>
      <c r="AO43" s="90"/>
      <c r="AP43" s="143">
        <f t="shared" si="26"/>
        <v>0</v>
      </c>
      <c r="AQ43" s="90"/>
      <c r="AR43" s="143">
        <f t="shared" si="27"/>
        <v>0</v>
      </c>
      <c r="AS43" s="90"/>
      <c r="AT43" s="143">
        <f t="shared" si="28"/>
        <v>0</v>
      </c>
      <c r="AU43" s="90"/>
      <c r="AV43" s="143">
        <f t="shared" si="29"/>
        <v>0</v>
      </c>
      <c r="AW43" s="90"/>
      <c r="AX43" s="143">
        <f t="shared" si="30"/>
        <v>0</v>
      </c>
      <c r="AY43" s="49">
        <v>35</v>
      </c>
      <c r="AZ43" s="155">
        <f t="shared" si="750"/>
        <v>0</v>
      </c>
      <c r="BA43" s="143">
        <f t="shared" si="751"/>
        <v>0</v>
      </c>
      <c r="BB43" s="50">
        <v>35</v>
      </c>
      <c r="BC43" s="158">
        <f t="shared" si="752"/>
        <v>0</v>
      </c>
      <c r="BD43" s="145">
        <f t="shared" si="753"/>
        <v>0</v>
      </c>
      <c r="BE43" s="150"/>
      <c r="BF43" s="143">
        <f t="shared" si="31"/>
        <v>0</v>
      </c>
      <c r="BG43" s="150"/>
      <c r="BH43" s="143">
        <f t="shared" si="31"/>
        <v>0</v>
      </c>
      <c r="BI43" s="150"/>
      <c r="BJ43" s="143">
        <f t="shared" ref="BJ43" si="805">BI43*$E43</f>
        <v>0</v>
      </c>
      <c r="BK43" s="150"/>
      <c r="BL43" s="143">
        <f t="shared" ref="BL43" si="806">BK43*$E43</f>
        <v>0</v>
      </c>
      <c r="BM43" s="150"/>
      <c r="BN43" s="143">
        <f t="shared" ref="BN43" si="807">BM43*$E43</f>
        <v>0</v>
      </c>
      <c r="BO43" s="150"/>
      <c r="BP43" s="143">
        <f t="shared" ref="BP43" si="808">BO43*$E43</f>
        <v>0</v>
      </c>
      <c r="BQ43" s="150"/>
      <c r="BR43" s="143">
        <f t="shared" ref="BR43" si="809">BQ43*$E43</f>
        <v>0</v>
      </c>
      <c r="BS43" s="150"/>
      <c r="BT43" s="143">
        <f t="shared" ref="BT43" si="810">BS43*$E43</f>
        <v>0</v>
      </c>
      <c r="BU43" s="150"/>
      <c r="BV43" s="143">
        <f t="shared" ref="BV43" si="811">BU43*$E43</f>
        <v>0</v>
      </c>
      <c r="BW43" s="150"/>
      <c r="BX43" s="143">
        <f t="shared" ref="BX43" si="812">BW43*$E43</f>
        <v>0</v>
      </c>
      <c r="BY43" s="150"/>
      <c r="BZ43" s="143">
        <f t="shared" ref="BZ43" si="813">BY43*$E43</f>
        <v>0</v>
      </c>
      <c r="CA43" s="46">
        <v>39</v>
      </c>
      <c r="CB43" s="149">
        <f t="shared" si="41"/>
        <v>0</v>
      </c>
      <c r="CC43" s="143">
        <f t="shared" si="763"/>
        <v>0</v>
      </c>
      <c r="CD43" s="49">
        <v>35</v>
      </c>
      <c r="CE43" s="48">
        <f t="shared" si="764"/>
        <v>0</v>
      </c>
      <c r="CF43" s="174">
        <f t="shared" si="765"/>
        <v>0</v>
      </c>
      <c r="CG43" s="162">
        <f t="shared" si="766"/>
        <v>0</v>
      </c>
      <c r="CH43" s="160">
        <f t="shared" si="767"/>
        <v>0</v>
      </c>
      <c r="CI43" s="160">
        <f t="shared" si="42"/>
        <v>0</v>
      </c>
      <c r="CJ43" s="45">
        <f t="shared" si="43"/>
        <v>0</v>
      </c>
    </row>
    <row r="44" spans="1:88" ht="15" hidden="1" x14ac:dyDescent="0.25">
      <c r="A44" s="46">
        <v>36</v>
      </c>
      <c r="B44" s="51"/>
      <c r="C44" s="52"/>
      <c r="D44" s="42"/>
      <c r="E44" s="170"/>
      <c r="F44" s="167">
        <f t="shared" si="436"/>
        <v>0</v>
      </c>
      <c r="G44" s="91"/>
      <c r="H44" s="143">
        <f t="shared" si="9"/>
        <v>0</v>
      </c>
      <c r="I44" s="91"/>
      <c r="J44" s="143">
        <f t="shared" ref="J44" si="814">I44*$E44</f>
        <v>0</v>
      </c>
      <c r="K44" s="104"/>
      <c r="L44" s="143">
        <f t="shared" ref="L44" si="815">K44*$E44</f>
        <v>0</v>
      </c>
      <c r="M44" s="104"/>
      <c r="N44" s="144">
        <f t="shared" ref="N44" si="816">M44*$E44</f>
        <v>0</v>
      </c>
      <c r="O44" s="104"/>
      <c r="P44" s="145">
        <f t="shared" ref="P44" si="817">O44*$E44</f>
        <v>0</v>
      </c>
      <c r="Q44" s="91"/>
      <c r="R44" s="143">
        <f t="shared" ref="R44" si="818">Q44*$E44</f>
        <v>0</v>
      </c>
      <c r="S44" s="104"/>
      <c r="T44" s="143">
        <f t="shared" ref="T44" si="819">S44*$E44</f>
        <v>0</v>
      </c>
      <c r="U44" s="104"/>
      <c r="V44" s="143">
        <f t="shared" ref="V44" si="820">U44*$E44</f>
        <v>0</v>
      </c>
      <c r="W44" s="91"/>
      <c r="X44" s="143">
        <f t="shared" ref="X44" si="821">W44*$E44</f>
        <v>0</v>
      </c>
      <c r="Y44" s="104"/>
      <c r="Z44" s="143">
        <f t="shared" ref="Z44" si="822">Y44*$E44</f>
        <v>0</v>
      </c>
      <c r="AA44" s="91"/>
      <c r="AB44" s="143">
        <f t="shared" ref="AB44" si="823">AA44*$E44</f>
        <v>0</v>
      </c>
      <c r="AC44" s="104"/>
      <c r="AD44" s="143">
        <f t="shared" ref="AD44" si="824">AC44*$E44</f>
        <v>0</v>
      </c>
      <c r="AE44" s="104"/>
      <c r="AF44" s="143">
        <f t="shared" ref="AF44" si="825">AE44*$E44</f>
        <v>0</v>
      </c>
      <c r="AG44" s="104"/>
      <c r="AH44" s="143">
        <f t="shared" ref="AH44" si="826">AG44*$E44</f>
        <v>0</v>
      </c>
      <c r="AI44" s="91"/>
      <c r="AJ44" s="143">
        <f t="shared" ref="AJ44" si="827">AI44*$E44</f>
        <v>0</v>
      </c>
      <c r="AK44" s="91"/>
      <c r="AL44" s="143">
        <f t="shared" si="24"/>
        <v>0</v>
      </c>
      <c r="AM44" s="91"/>
      <c r="AN44" s="143">
        <f t="shared" si="25"/>
        <v>0</v>
      </c>
      <c r="AO44" s="91"/>
      <c r="AP44" s="143">
        <f t="shared" si="26"/>
        <v>0</v>
      </c>
      <c r="AQ44" s="91"/>
      <c r="AR44" s="143">
        <f t="shared" si="27"/>
        <v>0</v>
      </c>
      <c r="AS44" s="91"/>
      <c r="AT44" s="143">
        <f t="shared" si="28"/>
        <v>0</v>
      </c>
      <c r="AU44" s="91"/>
      <c r="AV44" s="143">
        <f t="shared" si="29"/>
        <v>0</v>
      </c>
      <c r="AW44" s="91"/>
      <c r="AX44" s="143">
        <f t="shared" si="30"/>
        <v>0</v>
      </c>
      <c r="AY44" s="46">
        <v>36</v>
      </c>
      <c r="AZ44" s="155">
        <f t="shared" si="750"/>
        <v>0</v>
      </c>
      <c r="BA44" s="143">
        <f t="shared" si="751"/>
        <v>0</v>
      </c>
      <c r="BB44" s="47">
        <v>36</v>
      </c>
      <c r="BC44" s="158">
        <f t="shared" si="752"/>
        <v>0</v>
      </c>
      <c r="BD44" s="145">
        <f t="shared" si="753"/>
        <v>0</v>
      </c>
      <c r="BE44" s="150"/>
      <c r="BF44" s="143">
        <f t="shared" si="31"/>
        <v>0</v>
      </c>
      <c r="BG44" s="150"/>
      <c r="BH44" s="143">
        <f t="shared" si="31"/>
        <v>0</v>
      </c>
      <c r="BI44" s="150"/>
      <c r="BJ44" s="143">
        <f t="shared" ref="BJ44" si="828">BI44*$E44</f>
        <v>0</v>
      </c>
      <c r="BK44" s="150"/>
      <c r="BL44" s="143">
        <f t="shared" ref="BL44" si="829">BK44*$E44</f>
        <v>0</v>
      </c>
      <c r="BM44" s="150"/>
      <c r="BN44" s="143">
        <f t="shared" ref="BN44" si="830">BM44*$E44</f>
        <v>0</v>
      </c>
      <c r="BO44" s="150"/>
      <c r="BP44" s="143">
        <f t="shared" ref="BP44" si="831">BO44*$E44</f>
        <v>0</v>
      </c>
      <c r="BQ44" s="150"/>
      <c r="BR44" s="143">
        <f t="shared" ref="BR44" si="832">BQ44*$E44</f>
        <v>0</v>
      </c>
      <c r="BS44" s="150"/>
      <c r="BT44" s="143">
        <f t="shared" ref="BT44" si="833">BS44*$E44</f>
        <v>0</v>
      </c>
      <c r="BU44" s="150"/>
      <c r="BV44" s="143">
        <f t="shared" ref="BV44" si="834">BU44*$E44</f>
        <v>0</v>
      </c>
      <c r="BW44" s="150"/>
      <c r="BX44" s="143">
        <f t="shared" ref="BX44" si="835">BW44*$E44</f>
        <v>0</v>
      </c>
      <c r="BY44" s="150"/>
      <c r="BZ44" s="143">
        <f t="shared" ref="BZ44" si="836">BY44*$E44</f>
        <v>0</v>
      </c>
      <c r="CA44" s="49">
        <v>40</v>
      </c>
      <c r="CB44" s="149">
        <f t="shared" si="41"/>
        <v>0</v>
      </c>
      <c r="CC44" s="143">
        <f t="shared" si="763"/>
        <v>0</v>
      </c>
      <c r="CD44" s="46">
        <v>36</v>
      </c>
      <c r="CE44" s="48">
        <f t="shared" si="764"/>
        <v>0</v>
      </c>
      <c r="CF44" s="174">
        <f t="shared" si="765"/>
        <v>0</v>
      </c>
      <c r="CG44" s="162">
        <f t="shared" si="766"/>
        <v>0</v>
      </c>
      <c r="CH44" s="160">
        <f t="shared" si="767"/>
        <v>0</v>
      </c>
      <c r="CI44" s="160">
        <f t="shared" si="42"/>
        <v>0</v>
      </c>
      <c r="CJ44" s="45">
        <f t="shared" si="43"/>
        <v>0</v>
      </c>
    </row>
    <row r="45" spans="1:88" ht="15" hidden="1" x14ac:dyDescent="0.25">
      <c r="A45" s="49">
        <v>37</v>
      </c>
      <c r="B45" s="51"/>
      <c r="C45" s="52"/>
      <c r="D45" s="42"/>
      <c r="E45" s="170"/>
      <c r="F45" s="167">
        <f t="shared" si="436"/>
        <v>0</v>
      </c>
      <c r="G45" s="90"/>
      <c r="H45" s="143">
        <f t="shared" si="9"/>
        <v>0</v>
      </c>
      <c r="I45" s="90"/>
      <c r="J45" s="143">
        <f t="shared" ref="J45" si="837">I45*$E45</f>
        <v>0</v>
      </c>
      <c r="K45" s="90"/>
      <c r="L45" s="143">
        <f t="shared" ref="L45" si="838">K45*$E45</f>
        <v>0</v>
      </c>
      <c r="M45" s="90"/>
      <c r="N45" s="144">
        <f t="shared" ref="N45" si="839">M45*$E45</f>
        <v>0</v>
      </c>
      <c r="O45" s="90"/>
      <c r="P45" s="145">
        <f t="shared" ref="P45" si="840">O45*$E45</f>
        <v>0</v>
      </c>
      <c r="Q45" s="90"/>
      <c r="R45" s="143">
        <f t="shared" ref="R45" si="841">Q45*$E45</f>
        <v>0</v>
      </c>
      <c r="S45" s="90"/>
      <c r="T45" s="143">
        <f t="shared" ref="T45" si="842">S45*$E45</f>
        <v>0</v>
      </c>
      <c r="U45" s="90"/>
      <c r="V45" s="143">
        <f t="shared" ref="V45" si="843">U45*$E45</f>
        <v>0</v>
      </c>
      <c r="W45" s="90"/>
      <c r="X45" s="143">
        <f t="shared" ref="X45" si="844">W45*$E45</f>
        <v>0</v>
      </c>
      <c r="Y45" s="90"/>
      <c r="Z45" s="143">
        <f t="shared" ref="Z45" si="845">Y45*$E45</f>
        <v>0</v>
      </c>
      <c r="AA45" s="90"/>
      <c r="AB45" s="143">
        <f t="shared" ref="AB45" si="846">AA45*$E45</f>
        <v>0</v>
      </c>
      <c r="AC45" s="90"/>
      <c r="AD45" s="143">
        <f t="shared" ref="AD45" si="847">AC45*$E45</f>
        <v>0</v>
      </c>
      <c r="AE45" s="90"/>
      <c r="AF45" s="143">
        <f t="shared" ref="AF45" si="848">AE45*$E45</f>
        <v>0</v>
      </c>
      <c r="AG45" s="90"/>
      <c r="AH45" s="143">
        <f t="shared" ref="AH45" si="849">AG45*$E45</f>
        <v>0</v>
      </c>
      <c r="AI45" s="90"/>
      <c r="AJ45" s="143">
        <f t="shared" ref="AJ45" si="850">AI45*$E45</f>
        <v>0</v>
      </c>
      <c r="AK45" s="90"/>
      <c r="AL45" s="143">
        <f t="shared" si="24"/>
        <v>0</v>
      </c>
      <c r="AM45" s="90"/>
      <c r="AN45" s="143">
        <f t="shared" si="25"/>
        <v>0</v>
      </c>
      <c r="AO45" s="90"/>
      <c r="AP45" s="143">
        <f t="shared" si="26"/>
        <v>0</v>
      </c>
      <c r="AQ45" s="90"/>
      <c r="AR45" s="143">
        <f t="shared" si="27"/>
        <v>0</v>
      </c>
      <c r="AS45" s="90"/>
      <c r="AT45" s="143">
        <f t="shared" si="28"/>
        <v>0</v>
      </c>
      <c r="AU45" s="90"/>
      <c r="AV45" s="143">
        <f t="shared" si="29"/>
        <v>0</v>
      </c>
      <c r="AW45" s="90"/>
      <c r="AX45" s="143">
        <f t="shared" si="30"/>
        <v>0</v>
      </c>
      <c r="AY45" s="49">
        <v>37</v>
      </c>
      <c r="AZ45" s="155">
        <f t="shared" si="750"/>
        <v>0</v>
      </c>
      <c r="BA45" s="143">
        <f t="shared" si="751"/>
        <v>0</v>
      </c>
      <c r="BB45" s="50">
        <v>37</v>
      </c>
      <c r="BC45" s="158">
        <f t="shared" si="752"/>
        <v>0</v>
      </c>
      <c r="BD45" s="145">
        <f t="shared" si="753"/>
        <v>0</v>
      </c>
      <c r="BE45" s="150"/>
      <c r="BF45" s="143">
        <f t="shared" si="31"/>
        <v>0</v>
      </c>
      <c r="BG45" s="150"/>
      <c r="BH45" s="143">
        <f t="shared" si="31"/>
        <v>0</v>
      </c>
      <c r="BI45" s="150"/>
      <c r="BJ45" s="143">
        <f t="shared" ref="BJ45" si="851">BI45*$E45</f>
        <v>0</v>
      </c>
      <c r="BK45" s="150"/>
      <c r="BL45" s="143">
        <f t="shared" ref="BL45" si="852">BK45*$E45</f>
        <v>0</v>
      </c>
      <c r="BM45" s="150"/>
      <c r="BN45" s="143">
        <f t="shared" ref="BN45" si="853">BM45*$E45</f>
        <v>0</v>
      </c>
      <c r="BO45" s="150"/>
      <c r="BP45" s="143">
        <f t="shared" ref="BP45" si="854">BO45*$E45</f>
        <v>0</v>
      </c>
      <c r="BQ45" s="150"/>
      <c r="BR45" s="143">
        <f t="shared" ref="BR45" si="855">BQ45*$E45</f>
        <v>0</v>
      </c>
      <c r="BS45" s="150"/>
      <c r="BT45" s="143">
        <f t="shared" ref="BT45" si="856">BS45*$E45</f>
        <v>0</v>
      </c>
      <c r="BU45" s="150"/>
      <c r="BV45" s="143">
        <f t="shared" ref="BV45" si="857">BU45*$E45</f>
        <v>0</v>
      </c>
      <c r="BW45" s="150"/>
      <c r="BX45" s="143">
        <f t="shared" ref="BX45" si="858">BW45*$E45</f>
        <v>0</v>
      </c>
      <c r="BY45" s="150"/>
      <c r="BZ45" s="143">
        <f t="shared" ref="BZ45" si="859">BY45*$E45</f>
        <v>0</v>
      </c>
      <c r="CA45" s="46">
        <v>41</v>
      </c>
      <c r="CB45" s="149">
        <f t="shared" si="41"/>
        <v>0</v>
      </c>
      <c r="CC45" s="143">
        <f t="shared" si="763"/>
        <v>0</v>
      </c>
      <c r="CD45" s="49">
        <v>37</v>
      </c>
      <c r="CE45" s="48">
        <f t="shared" si="764"/>
        <v>0</v>
      </c>
      <c r="CF45" s="174">
        <f t="shared" si="765"/>
        <v>0</v>
      </c>
      <c r="CG45" s="162">
        <f t="shared" si="766"/>
        <v>0</v>
      </c>
      <c r="CH45" s="160">
        <f t="shared" si="767"/>
        <v>0</v>
      </c>
      <c r="CI45" s="160">
        <f t="shared" si="42"/>
        <v>0</v>
      </c>
      <c r="CJ45" s="45">
        <f t="shared" si="43"/>
        <v>0</v>
      </c>
    </row>
    <row r="46" spans="1:88" ht="15" hidden="1" x14ac:dyDescent="0.25">
      <c r="A46" s="46">
        <v>38</v>
      </c>
      <c r="B46" s="51"/>
      <c r="C46" s="52"/>
      <c r="D46" s="42"/>
      <c r="E46" s="170"/>
      <c r="F46" s="167">
        <f t="shared" si="436"/>
        <v>0</v>
      </c>
      <c r="G46" s="91"/>
      <c r="H46" s="143">
        <f t="shared" si="9"/>
        <v>0</v>
      </c>
      <c r="I46" s="91"/>
      <c r="J46" s="143">
        <f t="shared" ref="J46" si="860">I46*$E46</f>
        <v>0</v>
      </c>
      <c r="K46" s="91"/>
      <c r="L46" s="143">
        <f t="shared" ref="L46" si="861">K46*$E46</f>
        <v>0</v>
      </c>
      <c r="M46" s="91"/>
      <c r="N46" s="144">
        <f t="shared" ref="N46" si="862">M46*$E46</f>
        <v>0</v>
      </c>
      <c r="O46" s="91"/>
      <c r="P46" s="145">
        <f t="shared" ref="P46" si="863">O46*$E46</f>
        <v>0</v>
      </c>
      <c r="Q46" s="91"/>
      <c r="R46" s="143">
        <f t="shared" ref="R46" si="864">Q46*$E46</f>
        <v>0</v>
      </c>
      <c r="S46" s="91"/>
      <c r="T46" s="143">
        <f t="shared" ref="T46" si="865">S46*$E46</f>
        <v>0</v>
      </c>
      <c r="U46" s="91"/>
      <c r="V46" s="143">
        <f t="shared" ref="V46" si="866">U46*$E46</f>
        <v>0</v>
      </c>
      <c r="W46" s="91"/>
      <c r="X46" s="143">
        <f t="shared" ref="X46" si="867">W46*$E46</f>
        <v>0</v>
      </c>
      <c r="Y46" s="91"/>
      <c r="Z46" s="143">
        <f t="shared" ref="Z46" si="868">Y46*$E46</f>
        <v>0</v>
      </c>
      <c r="AA46" s="91"/>
      <c r="AB46" s="143">
        <f t="shared" ref="AB46" si="869">AA46*$E46</f>
        <v>0</v>
      </c>
      <c r="AC46" s="91"/>
      <c r="AD46" s="143">
        <f t="shared" ref="AD46" si="870">AC46*$E46</f>
        <v>0</v>
      </c>
      <c r="AE46" s="91"/>
      <c r="AF46" s="143">
        <f t="shared" ref="AF46" si="871">AE46*$E46</f>
        <v>0</v>
      </c>
      <c r="AG46" s="91"/>
      <c r="AH46" s="143">
        <f t="shared" ref="AH46" si="872">AG46*$E46</f>
        <v>0</v>
      </c>
      <c r="AI46" s="91"/>
      <c r="AJ46" s="143">
        <f t="shared" ref="AJ46" si="873">AI46*$E46</f>
        <v>0</v>
      </c>
      <c r="AK46" s="91"/>
      <c r="AL46" s="143">
        <f t="shared" si="24"/>
        <v>0</v>
      </c>
      <c r="AM46" s="91"/>
      <c r="AN46" s="143">
        <f t="shared" si="25"/>
        <v>0</v>
      </c>
      <c r="AO46" s="91"/>
      <c r="AP46" s="143">
        <f t="shared" si="26"/>
        <v>0</v>
      </c>
      <c r="AQ46" s="91"/>
      <c r="AR46" s="143">
        <f t="shared" si="27"/>
        <v>0</v>
      </c>
      <c r="AS46" s="91"/>
      <c r="AT46" s="143">
        <f t="shared" si="28"/>
        <v>0</v>
      </c>
      <c r="AU46" s="91"/>
      <c r="AV46" s="143">
        <f t="shared" si="29"/>
        <v>0</v>
      </c>
      <c r="AW46" s="91"/>
      <c r="AX46" s="143">
        <f t="shared" si="30"/>
        <v>0</v>
      </c>
      <c r="AY46" s="46">
        <v>38</v>
      </c>
      <c r="AZ46" s="155">
        <f t="shared" si="750"/>
        <v>0</v>
      </c>
      <c r="BA46" s="143">
        <f t="shared" si="751"/>
        <v>0</v>
      </c>
      <c r="BB46" s="47">
        <v>38</v>
      </c>
      <c r="BC46" s="158">
        <f t="shared" si="752"/>
        <v>0</v>
      </c>
      <c r="BD46" s="145">
        <f t="shared" si="753"/>
        <v>0</v>
      </c>
      <c r="BE46" s="150"/>
      <c r="BF46" s="143">
        <f t="shared" si="31"/>
        <v>0</v>
      </c>
      <c r="BG46" s="150"/>
      <c r="BH46" s="143">
        <f t="shared" si="31"/>
        <v>0</v>
      </c>
      <c r="BI46" s="150"/>
      <c r="BJ46" s="143">
        <f t="shared" ref="BJ46" si="874">BI46*$E46</f>
        <v>0</v>
      </c>
      <c r="BK46" s="150"/>
      <c r="BL46" s="143">
        <f t="shared" ref="BL46" si="875">BK46*$E46</f>
        <v>0</v>
      </c>
      <c r="BM46" s="150"/>
      <c r="BN46" s="143">
        <f t="shared" ref="BN46" si="876">BM46*$E46</f>
        <v>0</v>
      </c>
      <c r="BO46" s="150"/>
      <c r="BP46" s="143">
        <f t="shared" ref="BP46" si="877">BO46*$E46</f>
        <v>0</v>
      </c>
      <c r="BQ46" s="150"/>
      <c r="BR46" s="143">
        <f t="shared" ref="BR46" si="878">BQ46*$E46</f>
        <v>0</v>
      </c>
      <c r="BS46" s="150"/>
      <c r="BT46" s="143">
        <f t="shared" ref="BT46" si="879">BS46*$E46</f>
        <v>0</v>
      </c>
      <c r="BU46" s="150"/>
      <c r="BV46" s="143">
        <f t="shared" ref="BV46" si="880">BU46*$E46</f>
        <v>0</v>
      </c>
      <c r="BW46" s="150"/>
      <c r="BX46" s="143">
        <f t="shared" ref="BX46" si="881">BW46*$E46</f>
        <v>0</v>
      </c>
      <c r="BY46" s="150"/>
      <c r="BZ46" s="143">
        <f t="shared" ref="BZ46" si="882">BY46*$E46</f>
        <v>0</v>
      </c>
      <c r="CA46" s="49">
        <v>42</v>
      </c>
      <c r="CB46" s="149">
        <f t="shared" si="41"/>
        <v>0</v>
      </c>
      <c r="CC46" s="143">
        <f t="shared" si="763"/>
        <v>0</v>
      </c>
      <c r="CD46" s="46">
        <v>38</v>
      </c>
      <c r="CE46" s="48">
        <f t="shared" si="764"/>
        <v>0</v>
      </c>
      <c r="CF46" s="174">
        <f t="shared" si="765"/>
        <v>0</v>
      </c>
      <c r="CG46" s="162">
        <f t="shared" si="766"/>
        <v>0</v>
      </c>
      <c r="CH46" s="160">
        <f t="shared" si="767"/>
        <v>0</v>
      </c>
      <c r="CI46" s="160">
        <f t="shared" si="42"/>
        <v>0</v>
      </c>
      <c r="CJ46" s="45">
        <f t="shared" si="43"/>
        <v>0</v>
      </c>
    </row>
    <row r="47" spans="1:88" ht="15" hidden="1" x14ac:dyDescent="0.25">
      <c r="A47" s="49">
        <v>39</v>
      </c>
      <c r="B47" s="51"/>
      <c r="C47" s="52"/>
      <c r="D47" s="42"/>
      <c r="E47" s="170"/>
      <c r="F47" s="167">
        <f t="shared" si="436"/>
        <v>0</v>
      </c>
      <c r="G47" s="90"/>
      <c r="H47" s="143">
        <f t="shared" si="9"/>
        <v>0</v>
      </c>
      <c r="I47" s="90"/>
      <c r="J47" s="143">
        <f t="shared" ref="J47" si="883">I47*$E47</f>
        <v>0</v>
      </c>
      <c r="K47" s="90"/>
      <c r="L47" s="143">
        <f t="shared" ref="L47" si="884">K47*$E47</f>
        <v>0</v>
      </c>
      <c r="M47" s="90"/>
      <c r="N47" s="144">
        <f t="shared" ref="N47" si="885">M47*$E47</f>
        <v>0</v>
      </c>
      <c r="O47" s="90"/>
      <c r="P47" s="145">
        <f t="shared" ref="P47" si="886">O47*$E47</f>
        <v>0</v>
      </c>
      <c r="Q47" s="90"/>
      <c r="R47" s="143">
        <f t="shared" ref="R47" si="887">Q47*$E47</f>
        <v>0</v>
      </c>
      <c r="S47" s="90"/>
      <c r="T47" s="143">
        <f t="shared" ref="T47" si="888">S47*$E47</f>
        <v>0</v>
      </c>
      <c r="U47" s="90"/>
      <c r="V47" s="143">
        <f t="shared" ref="V47" si="889">U47*$E47</f>
        <v>0</v>
      </c>
      <c r="W47" s="90"/>
      <c r="X47" s="143">
        <f t="shared" ref="X47" si="890">W47*$E47</f>
        <v>0</v>
      </c>
      <c r="Y47" s="90"/>
      <c r="Z47" s="143">
        <f t="shared" ref="Z47" si="891">Y47*$E47</f>
        <v>0</v>
      </c>
      <c r="AA47" s="90"/>
      <c r="AB47" s="143">
        <f t="shared" ref="AB47" si="892">AA47*$E47</f>
        <v>0</v>
      </c>
      <c r="AC47" s="90"/>
      <c r="AD47" s="143">
        <f t="shared" ref="AD47" si="893">AC47*$E47</f>
        <v>0</v>
      </c>
      <c r="AE47" s="90"/>
      <c r="AF47" s="143">
        <f t="shared" ref="AF47" si="894">AE47*$E47</f>
        <v>0</v>
      </c>
      <c r="AG47" s="90"/>
      <c r="AH47" s="143">
        <f t="shared" ref="AH47" si="895">AG47*$E47</f>
        <v>0</v>
      </c>
      <c r="AI47" s="90"/>
      <c r="AJ47" s="143">
        <f t="shared" ref="AJ47" si="896">AI47*$E47</f>
        <v>0</v>
      </c>
      <c r="AK47" s="90"/>
      <c r="AL47" s="143">
        <f t="shared" si="24"/>
        <v>0</v>
      </c>
      <c r="AM47" s="90"/>
      <c r="AN47" s="143">
        <f t="shared" si="25"/>
        <v>0</v>
      </c>
      <c r="AO47" s="90"/>
      <c r="AP47" s="143">
        <f t="shared" si="26"/>
        <v>0</v>
      </c>
      <c r="AQ47" s="90"/>
      <c r="AR47" s="143">
        <f t="shared" si="27"/>
        <v>0</v>
      </c>
      <c r="AS47" s="90"/>
      <c r="AT47" s="143">
        <f t="shared" si="28"/>
        <v>0</v>
      </c>
      <c r="AU47" s="90"/>
      <c r="AV47" s="143">
        <f t="shared" si="29"/>
        <v>0</v>
      </c>
      <c r="AW47" s="90"/>
      <c r="AX47" s="143">
        <f t="shared" si="30"/>
        <v>0</v>
      </c>
      <c r="AY47" s="49">
        <v>39</v>
      </c>
      <c r="AZ47" s="155">
        <f t="shared" si="750"/>
        <v>0</v>
      </c>
      <c r="BA47" s="143">
        <f t="shared" si="751"/>
        <v>0</v>
      </c>
      <c r="BB47" s="50">
        <v>39</v>
      </c>
      <c r="BC47" s="158">
        <f t="shared" si="752"/>
        <v>0</v>
      </c>
      <c r="BD47" s="145">
        <f t="shared" si="753"/>
        <v>0</v>
      </c>
      <c r="BE47" s="150"/>
      <c r="BF47" s="143">
        <f t="shared" si="31"/>
        <v>0</v>
      </c>
      <c r="BG47" s="150"/>
      <c r="BH47" s="143">
        <f t="shared" si="31"/>
        <v>0</v>
      </c>
      <c r="BI47" s="150"/>
      <c r="BJ47" s="143">
        <f t="shared" ref="BJ47" si="897">BI47*$E47</f>
        <v>0</v>
      </c>
      <c r="BK47" s="150"/>
      <c r="BL47" s="143">
        <f t="shared" ref="BL47" si="898">BK47*$E47</f>
        <v>0</v>
      </c>
      <c r="BM47" s="150"/>
      <c r="BN47" s="143">
        <f t="shared" ref="BN47" si="899">BM47*$E47</f>
        <v>0</v>
      </c>
      <c r="BO47" s="150"/>
      <c r="BP47" s="143">
        <f t="shared" ref="BP47" si="900">BO47*$E47</f>
        <v>0</v>
      </c>
      <c r="BQ47" s="150"/>
      <c r="BR47" s="143">
        <f t="shared" ref="BR47" si="901">BQ47*$E47</f>
        <v>0</v>
      </c>
      <c r="BS47" s="150"/>
      <c r="BT47" s="143">
        <f t="shared" ref="BT47" si="902">BS47*$E47</f>
        <v>0</v>
      </c>
      <c r="BU47" s="150"/>
      <c r="BV47" s="143">
        <f t="shared" ref="BV47" si="903">BU47*$E47</f>
        <v>0</v>
      </c>
      <c r="BW47" s="150"/>
      <c r="BX47" s="143">
        <f t="shared" ref="BX47" si="904">BW47*$E47</f>
        <v>0</v>
      </c>
      <c r="BY47" s="150"/>
      <c r="BZ47" s="143">
        <f t="shared" ref="BZ47" si="905">BY47*$E47</f>
        <v>0</v>
      </c>
      <c r="CA47" s="46">
        <v>43</v>
      </c>
      <c r="CB47" s="149">
        <f t="shared" si="41"/>
        <v>0</v>
      </c>
      <c r="CC47" s="143">
        <f t="shared" si="763"/>
        <v>0</v>
      </c>
      <c r="CD47" s="49">
        <v>39</v>
      </c>
      <c r="CE47" s="48">
        <f t="shared" si="764"/>
        <v>0</v>
      </c>
      <c r="CF47" s="174">
        <f t="shared" si="765"/>
        <v>0</v>
      </c>
      <c r="CG47" s="162">
        <f t="shared" si="766"/>
        <v>0</v>
      </c>
      <c r="CH47" s="160">
        <f t="shared" si="767"/>
        <v>0</v>
      </c>
      <c r="CI47" s="160">
        <f t="shared" si="42"/>
        <v>0</v>
      </c>
      <c r="CJ47" s="45">
        <f t="shared" si="43"/>
        <v>0</v>
      </c>
    </row>
    <row r="48" spans="1:88" ht="15" hidden="1" x14ac:dyDescent="0.25">
      <c r="A48" s="46">
        <v>40</v>
      </c>
      <c r="B48" s="51"/>
      <c r="C48" s="52"/>
      <c r="D48" s="42"/>
      <c r="E48" s="170"/>
      <c r="F48" s="167">
        <f t="shared" si="436"/>
        <v>0</v>
      </c>
      <c r="G48" s="91"/>
      <c r="H48" s="143">
        <f t="shared" si="9"/>
        <v>0</v>
      </c>
      <c r="I48" s="91"/>
      <c r="J48" s="143">
        <f t="shared" ref="J48" si="906">I48*$E48</f>
        <v>0</v>
      </c>
      <c r="K48" s="91"/>
      <c r="L48" s="143">
        <f t="shared" ref="L48" si="907">K48*$E48</f>
        <v>0</v>
      </c>
      <c r="M48" s="91"/>
      <c r="N48" s="144">
        <f t="shared" ref="N48" si="908">M48*$E48</f>
        <v>0</v>
      </c>
      <c r="O48" s="91"/>
      <c r="P48" s="145">
        <f t="shared" ref="P48" si="909">O48*$E48</f>
        <v>0</v>
      </c>
      <c r="Q48" s="91"/>
      <c r="R48" s="143">
        <f t="shared" ref="R48" si="910">Q48*$E48</f>
        <v>0</v>
      </c>
      <c r="S48" s="91"/>
      <c r="T48" s="143">
        <f t="shared" ref="T48" si="911">S48*$E48</f>
        <v>0</v>
      </c>
      <c r="U48" s="91"/>
      <c r="V48" s="143">
        <f t="shared" ref="V48" si="912">U48*$E48</f>
        <v>0</v>
      </c>
      <c r="W48" s="91"/>
      <c r="X48" s="143">
        <f t="shared" ref="X48" si="913">W48*$E48</f>
        <v>0</v>
      </c>
      <c r="Y48" s="91"/>
      <c r="Z48" s="143">
        <f t="shared" ref="Z48" si="914">Y48*$E48</f>
        <v>0</v>
      </c>
      <c r="AA48" s="91"/>
      <c r="AB48" s="143">
        <f t="shared" ref="AB48" si="915">AA48*$E48</f>
        <v>0</v>
      </c>
      <c r="AC48" s="91"/>
      <c r="AD48" s="143">
        <f t="shared" ref="AD48" si="916">AC48*$E48</f>
        <v>0</v>
      </c>
      <c r="AE48" s="91"/>
      <c r="AF48" s="143">
        <f t="shared" ref="AF48" si="917">AE48*$E48</f>
        <v>0</v>
      </c>
      <c r="AG48" s="91"/>
      <c r="AH48" s="143">
        <f t="shared" ref="AH48" si="918">AG48*$E48</f>
        <v>0</v>
      </c>
      <c r="AI48" s="91"/>
      <c r="AJ48" s="143">
        <f t="shared" ref="AJ48" si="919">AI48*$E48</f>
        <v>0</v>
      </c>
      <c r="AK48" s="91"/>
      <c r="AL48" s="143">
        <f t="shared" si="24"/>
        <v>0</v>
      </c>
      <c r="AM48" s="91"/>
      <c r="AN48" s="143">
        <f t="shared" si="25"/>
        <v>0</v>
      </c>
      <c r="AO48" s="91"/>
      <c r="AP48" s="143">
        <f t="shared" si="26"/>
        <v>0</v>
      </c>
      <c r="AQ48" s="91"/>
      <c r="AR48" s="143">
        <f t="shared" si="27"/>
        <v>0</v>
      </c>
      <c r="AS48" s="91"/>
      <c r="AT48" s="143">
        <f t="shared" si="28"/>
        <v>0</v>
      </c>
      <c r="AU48" s="91"/>
      <c r="AV48" s="143">
        <f t="shared" si="29"/>
        <v>0</v>
      </c>
      <c r="AW48" s="91"/>
      <c r="AX48" s="143">
        <f t="shared" si="30"/>
        <v>0</v>
      </c>
      <c r="AY48" s="46">
        <v>40</v>
      </c>
      <c r="AZ48" s="155">
        <f t="shared" si="750"/>
        <v>0</v>
      </c>
      <c r="BA48" s="143">
        <f t="shared" si="751"/>
        <v>0</v>
      </c>
      <c r="BB48" s="47">
        <v>40</v>
      </c>
      <c r="BC48" s="158">
        <f t="shared" si="752"/>
        <v>0</v>
      </c>
      <c r="BD48" s="145">
        <f t="shared" si="753"/>
        <v>0</v>
      </c>
      <c r="BE48" s="150"/>
      <c r="BF48" s="143">
        <f t="shared" si="31"/>
        <v>0</v>
      </c>
      <c r="BG48" s="150"/>
      <c r="BH48" s="143">
        <f t="shared" si="31"/>
        <v>0</v>
      </c>
      <c r="BI48" s="150"/>
      <c r="BJ48" s="143">
        <f t="shared" ref="BJ48" si="920">BI48*$E48</f>
        <v>0</v>
      </c>
      <c r="BK48" s="150"/>
      <c r="BL48" s="143">
        <f t="shared" ref="BL48" si="921">BK48*$E48</f>
        <v>0</v>
      </c>
      <c r="BM48" s="150"/>
      <c r="BN48" s="143">
        <f t="shared" ref="BN48" si="922">BM48*$E48</f>
        <v>0</v>
      </c>
      <c r="BO48" s="150"/>
      <c r="BP48" s="143">
        <f t="shared" ref="BP48" si="923">BO48*$E48</f>
        <v>0</v>
      </c>
      <c r="BQ48" s="150"/>
      <c r="BR48" s="143">
        <f t="shared" ref="BR48" si="924">BQ48*$E48</f>
        <v>0</v>
      </c>
      <c r="BS48" s="150"/>
      <c r="BT48" s="143">
        <f t="shared" ref="BT48" si="925">BS48*$E48</f>
        <v>0</v>
      </c>
      <c r="BU48" s="150"/>
      <c r="BV48" s="143">
        <f t="shared" ref="BV48" si="926">BU48*$E48</f>
        <v>0</v>
      </c>
      <c r="BW48" s="150"/>
      <c r="BX48" s="143">
        <f t="shared" ref="BX48" si="927">BW48*$E48</f>
        <v>0</v>
      </c>
      <c r="BY48" s="150"/>
      <c r="BZ48" s="143">
        <f t="shared" ref="BZ48" si="928">BY48*$E48</f>
        <v>0</v>
      </c>
      <c r="CA48" s="49">
        <v>44</v>
      </c>
      <c r="CB48" s="149">
        <f t="shared" si="41"/>
        <v>0</v>
      </c>
      <c r="CC48" s="143">
        <f t="shared" si="763"/>
        <v>0</v>
      </c>
      <c r="CD48" s="46">
        <v>40</v>
      </c>
      <c r="CE48" s="48">
        <f t="shared" si="764"/>
        <v>0</v>
      </c>
      <c r="CF48" s="174"/>
      <c r="CG48" s="162">
        <f t="shared" si="766"/>
        <v>0</v>
      </c>
      <c r="CH48" s="160">
        <f t="shared" si="767"/>
        <v>0</v>
      </c>
      <c r="CI48" s="160">
        <f t="shared" si="42"/>
        <v>0</v>
      </c>
      <c r="CJ48" s="45">
        <f t="shared" si="43"/>
        <v>0</v>
      </c>
    </row>
    <row r="49" spans="1:88" ht="15" hidden="1" x14ac:dyDescent="0.25">
      <c r="A49" s="49">
        <v>41</v>
      </c>
      <c r="B49" s="51"/>
      <c r="C49" s="52"/>
      <c r="D49" s="42"/>
      <c r="E49" s="170"/>
      <c r="F49" s="167">
        <f t="shared" si="436"/>
        <v>0</v>
      </c>
      <c r="G49" s="90"/>
      <c r="H49" s="143">
        <f t="shared" si="9"/>
        <v>0</v>
      </c>
      <c r="I49" s="90"/>
      <c r="J49" s="143">
        <f t="shared" ref="J49" si="929">I49*$E49</f>
        <v>0</v>
      </c>
      <c r="K49" s="90"/>
      <c r="L49" s="143">
        <f t="shared" ref="L49" si="930">K49*$E49</f>
        <v>0</v>
      </c>
      <c r="M49" s="90"/>
      <c r="N49" s="144">
        <f t="shared" ref="N49" si="931">M49*$E49</f>
        <v>0</v>
      </c>
      <c r="O49" s="90"/>
      <c r="P49" s="145">
        <f t="shared" ref="P49" si="932">O49*$E49</f>
        <v>0</v>
      </c>
      <c r="Q49" s="90"/>
      <c r="R49" s="143">
        <f t="shared" ref="R49" si="933">Q49*$E49</f>
        <v>0</v>
      </c>
      <c r="S49" s="90"/>
      <c r="T49" s="143">
        <f t="shared" ref="T49" si="934">S49*$E49</f>
        <v>0</v>
      </c>
      <c r="U49" s="90"/>
      <c r="V49" s="143">
        <f t="shared" ref="V49" si="935">U49*$E49</f>
        <v>0</v>
      </c>
      <c r="W49" s="90"/>
      <c r="X49" s="143">
        <f t="shared" ref="X49" si="936">W49*$E49</f>
        <v>0</v>
      </c>
      <c r="Y49" s="90"/>
      <c r="Z49" s="143">
        <f t="shared" ref="Z49" si="937">Y49*$E49</f>
        <v>0</v>
      </c>
      <c r="AA49" s="90"/>
      <c r="AB49" s="143">
        <f t="shared" ref="AB49" si="938">AA49*$E49</f>
        <v>0</v>
      </c>
      <c r="AC49" s="90"/>
      <c r="AD49" s="143">
        <f t="shared" ref="AD49" si="939">AC49*$E49</f>
        <v>0</v>
      </c>
      <c r="AE49" s="90"/>
      <c r="AF49" s="143">
        <f t="shared" ref="AF49" si="940">AE49*$E49</f>
        <v>0</v>
      </c>
      <c r="AG49" s="90"/>
      <c r="AH49" s="143">
        <f t="shared" ref="AH49" si="941">AG49*$E49</f>
        <v>0</v>
      </c>
      <c r="AI49" s="90"/>
      <c r="AJ49" s="143">
        <f t="shared" ref="AJ49" si="942">AI49*$E49</f>
        <v>0</v>
      </c>
      <c r="AK49" s="90"/>
      <c r="AL49" s="143">
        <f t="shared" si="24"/>
        <v>0</v>
      </c>
      <c r="AM49" s="90"/>
      <c r="AN49" s="143">
        <f t="shared" si="25"/>
        <v>0</v>
      </c>
      <c r="AO49" s="90"/>
      <c r="AP49" s="143">
        <f t="shared" si="26"/>
        <v>0</v>
      </c>
      <c r="AQ49" s="90"/>
      <c r="AR49" s="143">
        <f t="shared" si="27"/>
        <v>0</v>
      </c>
      <c r="AS49" s="90"/>
      <c r="AT49" s="143">
        <f t="shared" si="28"/>
        <v>0</v>
      </c>
      <c r="AU49" s="90"/>
      <c r="AV49" s="143">
        <f t="shared" si="29"/>
        <v>0</v>
      </c>
      <c r="AW49" s="90"/>
      <c r="AX49" s="143">
        <f t="shared" si="30"/>
        <v>0</v>
      </c>
      <c r="AY49" s="49">
        <v>41</v>
      </c>
      <c r="AZ49" s="155">
        <f t="shared" si="750"/>
        <v>0</v>
      </c>
      <c r="BA49" s="143">
        <f t="shared" si="751"/>
        <v>0</v>
      </c>
      <c r="BB49" s="50">
        <v>41</v>
      </c>
      <c r="BC49" s="158">
        <f t="shared" si="752"/>
        <v>0</v>
      </c>
      <c r="BD49" s="145">
        <f t="shared" si="753"/>
        <v>0</v>
      </c>
      <c r="BE49" s="150"/>
      <c r="BF49" s="143">
        <f t="shared" si="31"/>
        <v>0</v>
      </c>
      <c r="BG49" s="150"/>
      <c r="BH49" s="143">
        <f t="shared" si="31"/>
        <v>0</v>
      </c>
      <c r="BI49" s="150"/>
      <c r="BJ49" s="143">
        <f t="shared" ref="BJ49" si="943">BI49*$E49</f>
        <v>0</v>
      </c>
      <c r="BK49" s="150"/>
      <c r="BL49" s="143">
        <f t="shared" ref="BL49" si="944">BK49*$E49</f>
        <v>0</v>
      </c>
      <c r="BM49" s="150"/>
      <c r="BN49" s="143">
        <f t="shared" ref="BN49" si="945">BM49*$E49</f>
        <v>0</v>
      </c>
      <c r="BO49" s="150"/>
      <c r="BP49" s="143">
        <f t="shared" ref="BP49" si="946">BO49*$E49</f>
        <v>0</v>
      </c>
      <c r="BQ49" s="150"/>
      <c r="BR49" s="143">
        <f t="shared" ref="BR49" si="947">BQ49*$E49</f>
        <v>0</v>
      </c>
      <c r="BS49" s="150"/>
      <c r="BT49" s="143">
        <f t="shared" ref="BT49" si="948">BS49*$E49</f>
        <v>0</v>
      </c>
      <c r="BU49" s="150"/>
      <c r="BV49" s="143">
        <f t="shared" ref="BV49" si="949">BU49*$E49</f>
        <v>0</v>
      </c>
      <c r="BW49" s="150"/>
      <c r="BX49" s="143">
        <f t="shared" ref="BX49" si="950">BW49*$E49</f>
        <v>0</v>
      </c>
      <c r="BY49" s="150"/>
      <c r="BZ49" s="143">
        <f t="shared" ref="BZ49" si="951">BY49*$E49</f>
        <v>0</v>
      </c>
      <c r="CA49" s="46">
        <v>45</v>
      </c>
      <c r="CB49" s="149">
        <f t="shared" si="41"/>
        <v>0</v>
      </c>
      <c r="CC49" s="143">
        <f t="shared" si="763"/>
        <v>0</v>
      </c>
      <c r="CD49" s="49">
        <v>41</v>
      </c>
      <c r="CE49" s="48">
        <f t="shared" si="764"/>
        <v>0</v>
      </c>
      <c r="CF49" s="174">
        <f t="shared" si="765"/>
        <v>0</v>
      </c>
      <c r="CG49" s="162">
        <f t="shared" si="766"/>
        <v>0</v>
      </c>
      <c r="CH49" s="160">
        <f t="shared" si="767"/>
        <v>0</v>
      </c>
      <c r="CI49" s="160">
        <f t="shared" si="42"/>
        <v>0</v>
      </c>
      <c r="CJ49" s="45">
        <f t="shared" si="43"/>
        <v>0</v>
      </c>
    </row>
    <row r="50" spans="1:88" ht="15" hidden="1" x14ac:dyDescent="0.25">
      <c r="A50" s="46">
        <v>42</v>
      </c>
      <c r="B50" s="51"/>
      <c r="C50" s="52"/>
      <c r="D50" s="42"/>
      <c r="E50" s="170"/>
      <c r="F50" s="167">
        <f t="shared" si="436"/>
        <v>0</v>
      </c>
      <c r="G50" s="91"/>
      <c r="H50" s="143">
        <f t="shared" si="9"/>
        <v>0</v>
      </c>
      <c r="I50" s="91"/>
      <c r="J50" s="143">
        <f t="shared" ref="J50" si="952">I50*$E50</f>
        <v>0</v>
      </c>
      <c r="K50" s="91"/>
      <c r="L50" s="143">
        <f t="shared" ref="L50" si="953">K50*$E50</f>
        <v>0</v>
      </c>
      <c r="M50" s="91"/>
      <c r="N50" s="144">
        <f t="shared" ref="N50" si="954">M50*$E50</f>
        <v>0</v>
      </c>
      <c r="O50" s="91"/>
      <c r="P50" s="145">
        <f t="shared" ref="P50" si="955">O50*$E50</f>
        <v>0</v>
      </c>
      <c r="Q50" s="91"/>
      <c r="R50" s="143">
        <f t="shared" ref="R50" si="956">Q50*$E50</f>
        <v>0</v>
      </c>
      <c r="S50" s="91"/>
      <c r="T50" s="143">
        <f t="shared" ref="T50" si="957">S50*$E50</f>
        <v>0</v>
      </c>
      <c r="U50" s="91"/>
      <c r="V50" s="143">
        <f t="shared" ref="V50" si="958">U50*$E50</f>
        <v>0</v>
      </c>
      <c r="W50" s="91"/>
      <c r="X50" s="143">
        <f t="shared" ref="X50" si="959">W50*$E50</f>
        <v>0</v>
      </c>
      <c r="Y50" s="91"/>
      <c r="Z50" s="143">
        <f t="shared" ref="Z50" si="960">Y50*$E50</f>
        <v>0</v>
      </c>
      <c r="AA50" s="91"/>
      <c r="AB50" s="143">
        <f t="shared" ref="AB50" si="961">AA50*$E50</f>
        <v>0</v>
      </c>
      <c r="AC50" s="91"/>
      <c r="AD50" s="143">
        <f t="shared" ref="AD50" si="962">AC50*$E50</f>
        <v>0</v>
      </c>
      <c r="AE50" s="91"/>
      <c r="AF50" s="143">
        <f t="shared" ref="AF50" si="963">AE50*$E50</f>
        <v>0</v>
      </c>
      <c r="AG50" s="91"/>
      <c r="AH50" s="143">
        <f t="shared" ref="AH50" si="964">AG50*$E50</f>
        <v>0</v>
      </c>
      <c r="AI50" s="91"/>
      <c r="AJ50" s="143">
        <f t="shared" ref="AJ50" si="965">AI50*$E50</f>
        <v>0</v>
      </c>
      <c r="AK50" s="91"/>
      <c r="AL50" s="143">
        <f t="shared" si="24"/>
        <v>0</v>
      </c>
      <c r="AM50" s="91"/>
      <c r="AN50" s="143">
        <f t="shared" si="25"/>
        <v>0</v>
      </c>
      <c r="AO50" s="91"/>
      <c r="AP50" s="143">
        <f t="shared" si="26"/>
        <v>0</v>
      </c>
      <c r="AQ50" s="91"/>
      <c r="AR50" s="143">
        <f t="shared" si="27"/>
        <v>0</v>
      </c>
      <c r="AS50" s="91"/>
      <c r="AT50" s="143">
        <f t="shared" si="28"/>
        <v>0</v>
      </c>
      <c r="AU50" s="91"/>
      <c r="AV50" s="143">
        <f t="shared" si="29"/>
        <v>0</v>
      </c>
      <c r="AW50" s="91"/>
      <c r="AX50" s="143">
        <f t="shared" si="30"/>
        <v>0</v>
      </c>
      <c r="AY50" s="46">
        <v>42</v>
      </c>
      <c r="AZ50" s="155">
        <f t="shared" si="750"/>
        <v>0</v>
      </c>
      <c r="BA50" s="143">
        <f t="shared" si="751"/>
        <v>0</v>
      </c>
      <c r="BB50" s="47">
        <v>42</v>
      </c>
      <c r="BC50" s="158">
        <f t="shared" si="752"/>
        <v>0</v>
      </c>
      <c r="BD50" s="145">
        <f t="shared" si="753"/>
        <v>0</v>
      </c>
      <c r="BE50" s="150"/>
      <c r="BF50" s="143">
        <f t="shared" si="31"/>
        <v>0</v>
      </c>
      <c r="BG50" s="150"/>
      <c r="BH50" s="143">
        <f t="shared" si="31"/>
        <v>0</v>
      </c>
      <c r="BI50" s="150"/>
      <c r="BJ50" s="143">
        <f t="shared" ref="BJ50" si="966">BI50*$E50</f>
        <v>0</v>
      </c>
      <c r="BK50" s="150"/>
      <c r="BL50" s="143">
        <f t="shared" ref="BL50" si="967">BK50*$E50</f>
        <v>0</v>
      </c>
      <c r="BM50" s="150"/>
      <c r="BN50" s="143">
        <f t="shared" ref="BN50" si="968">BM50*$E50</f>
        <v>0</v>
      </c>
      <c r="BO50" s="150"/>
      <c r="BP50" s="143">
        <f t="shared" ref="BP50" si="969">BO50*$E50</f>
        <v>0</v>
      </c>
      <c r="BQ50" s="150"/>
      <c r="BR50" s="143">
        <f t="shared" ref="BR50" si="970">BQ50*$E50</f>
        <v>0</v>
      </c>
      <c r="BS50" s="150"/>
      <c r="BT50" s="143">
        <f t="shared" ref="BT50" si="971">BS50*$E50</f>
        <v>0</v>
      </c>
      <c r="BU50" s="150"/>
      <c r="BV50" s="143">
        <f t="shared" ref="BV50" si="972">BU50*$E50</f>
        <v>0</v>
      </c>
      <c r="BW50" s="150"/>
      <c r="BX50" s="143">
        <f t="shared" ref="BX50" si="973">BW50*$E50</f>
        <v>0</v>
      </c>
      <c r="BY50" s="150"/>
      <c r="BZ50" s="143">
        <f t="shared" ref="BZ50" si="974">BY50*$E50</f>
        <v>0</v>
      </c>
      <c r="CA50" s="49">
        <v>46</v>
      </c>
      <c r="CB50" s="149">
        <f t="shared" si="41"/>
        <v>0</v>
      </c>
      <c r="CC50" s="143">
        <f t="shared" si="763"/>
        <v>0</v>
      </c>
      <c r="CD50" s="46">
        <v>42</v>
      </c>
      <c r="CE50" s="48">
        <f t="shared" si="764"/>
        <v>0</v>
      </c>
      <c r="CF50" s="174">
        <f t="shared" si="765"/>
        <v>0</v>
      </c>
      <c r="CG50" s="162">
        <f t="shared" si="766"/>
        <v>0</v>
      </c>
      <c r="CH50" s="160">
        <f t="shared" si="767"/>
        <v>0</v>
      </c>
      <c r="CI50" s="160">
        <f t="shared" si="42"/>
        <v>0</v>
      </c>
      <c r="CJ50" s="45">
        <f t="shared" si="43"/>
        <v>0</v>
      </c>
    </row>
    <row r="51" spans="1:88" ht="15" hidden="1" x14ac:dyDescent="0.25">
      <c r="A51" s="49">
        <v>43</v>
      </c>
      <c r="B51" s="51"/>
      <c r="C51" s="52"/>
      <c r="D51" s="42"/>
      <c r="E51" s="170"/>
      <c r="F51" s="167">
        <f t="shared" si="436"/>
        <v>0</v>
      </c>
      <c r="G51" s="90"/>
      <c r="H51" s="143">
        <f t="shared" si="9"/>
        <v>0</v>
      </c>
      <c r="I51" s="90"/>
      <c r="J51" s="143">
        <f t="shared" ref="J51" si="975">I51*$E51</f>
        <v>0</v>
      </c>
      <c r="K51" s="90"/>
      <c r="L51" s="143">
        <f t="shared" ref="L51" si="976">K51*$E51</f>
        <v>0</v>
      </c>
      <c r="M51" s="90"/>
      <c r="N51" s="144">
        <f t="shared" ref="N51" si="977">M51*$E51</f>
        <v>0</v>
      </c>
      <c r="O51" s="90"/>
      <c r="P51" s="145">
        <f t="shared" ref="P51" si="978">O51*$E51</f>
        <v>0</v>
      </c>
      <c r="Q51" s="90"/>
      <c r="R51" s="143">
        <f t="shared" ref="R51" si="979">Q51*$E51</f>
        <v>0</v>
      </c>
      <c r="S51" s="90"/>
      <c r="T51" s="143">
        <f t="shared" ref="T51" si="980">S51*$E51</f>
        <v>0</v>
      </c>
      <c r="U51" s="90"/>
      <c r="V51" s="143">
        <f t="shared" ref="V51" si="981">U51*$E51</f>
        <v>0</v>
      </c>
      <c r="W51" s="90"/>
      <c r="X51" s="143">
        <f t="shared" ref="X51" si="982">W51*$E51</f>
        <v>0</v>
      </c>
      <c r="Y51" s="90"/>
      <c r="Z51" s="143">
        <f t="shared" ref="Z51" si="983">Y51*$E51</f>
        <v>0</v>
      </c>
      <c r="AA51" s="90"/>
      <c r="AB51" s="143">
        <f t="shared" ref="AB51" si="984">AA51*$E51</f>
        <v>0</v>
      </c>
      <c r="AC51" s="90"/>
      <c r="AD51" s="143">
        <f t="shared" ref="AD51" si="985">AC51*$E51</f>
        <v>0</v>
      </c>
      <c r="AE51" s="90"/>
      <c r="AF51" s="143">
        <f t="shared" ref="AF51" si="986">AE51*$E51</f>
        <v>0</v>
      </c>
      <c r="AG51" s="90"/>
      <c r="AH51" s="143">
        <f t="shared" ref="AH51" si="987">AG51*$E51</f>
        <v>0</v>
      </c>
      <c r="AI51" s="90"/>
      <c r="AJ51" s="143">
        <f t="shared" ref="AJ51" si="988">AI51*$E51</f>
        <v>0</v>
      </c>
      <c r="AK51" s="90"/>
      <c r="AL51" s="143">
        <f t="shared" si="24"/>
        <v>0</v>
      </c>
      <c r="AM51" s="90"/>
      <c r="AN51" s="143">
        <f t="shared" si="25"/>
        <v>0</v>
      </c>
      <c r="AO51" s="90"/>
      <c r="AP51" s="143">
        <f t="shared" si="26"/>
        <v>0</v>
      </c>
      <c r="AQ51" s="90"/>
      <c r="AR51" s="143">
        <f t="shared" si="27"/>
        <v>0</v>
      </c>
      <c r="AS51" s="90"/>
      <c r="AT51" s="143">
        <f t="shared" si="28"/>
        <v>0</v>
      </c>
      <c r="AU51" s="90"/>
      <c r="AV51" s="143">
        <f t="shared" si="29"/>
        <v>0</v>
      </c>
      <c r="AW51" s="90"/>
      <c r="AX51" s="143">
        <f t="shared" si="30"/>
        <v>0</v>
      </c>
      <c r="AY51" s="49">
        <v>43</v>
      </c>
      <c r="AZ51" s="155">
        <f t="shared" si="750"/>
        <v>0</v>
      </c>
      <c r="BA51" s="143">
        <f t="shared" si="751"/>
        <v>0</v>
      </c>
      <c r="BB51" s="50">
        <v>43</v>
      </c>
      <c r="BC51" s="158">
        <f t="shared" si="752"/>
        <v>0</v>
      </c>
      <c r="BD51" s="145">
        <f t="shared" si="753"/>
        <v>0</v>
      </c>
      <c r="BE51" s="150"/>
      <c r="BF51" s="143">
        <f t="shared" si="31"/>
        <v>0</v>
      </c>
      <c r="BG51" s="150"/>
      <c r="BH51" s="143">
        <f t="shared" si="31"/>
        <v>0</v>
      </c>
      <c r="BI51" s="150"/>
      <c r="BJ51" s="143">
        <f t="shared" ref="BJ51" si="989">BI51*$E51</f>
        <v>0</v>
      </c>
      <c r="BK51" s="150"/>
      <c r="BL51" s="143">
        <f t="shared" ref="BL51" si="990">BK51*$E51</f>
        <v>0</v>
      </c>
      <c r="BM51" s="150"/>
      <c r="BN51" s="143">
        <f t="shared" ref="BN51" si="991">BM51*$E51</f>
        <v>0</v>
      </c>
      <c r="BO51" s="150"/>
      <c r="BP51" s="143">
        <f t="shared" ref="BP51" si="992">BO51*$E51</f>
        <v>0</v>
      </c>
      <c r="BQ51" s="150"/>
      <c r="BR51" s="143">
        <f t="shared" ref="BR51" si="993">BQ51*$E51</f>
        <v>0</v>
      </c>
      <c r="BS51" s="150"/>
      <c r="BT51" s="143">
        <f t="shared" ref="BT51" si="994">BS51*$E51</f>
        <v>0</v>
      </c>
      <c r="BU51" s="150"/>
      <c r="BV51" s="143">
        <f t="shared" ref="BV51" si="995">BU51*$E51</f>
        <v>0</v>
      </c>
      <c r="BW51" s="150"/>
      <c r="BX51" s="143">
        <f t="shared" ref="BX51" si="996">BW51*$E51</f>
        <v>0</v>
      </c>
      <c r="BY51" s="150"/>
      <c r="BZ51" s="143">
        <f t="shared" ref="BZ51" si="997">BY51*$E51</f>
        <v>0</v>
      </c>
      <c r="CA51" s="46">
        <v>47</v>
      </c>
      <c r="CB51" s="149">
        <f t="shared" si="41"/>
        <v>0</v>
      </c>
      <c r="CC51" s="143">
        <f t="shared" si="763"/>
        <v>0</v>
      </c>
      <c r="CD51" s="49">
        <v>43</v>
      </c>
      <c r="CE51" s="48">
        <f t="shared" si="764"/>
        <v>0</v>
      </c>
      <c r="CF51" s="174">
        <f t="shared" si="765"/>
        <v>0</v>
      </c>
      <c r="CG51" s="162">
        <f t="shared" si="766"/>
        <v>0</v>
      </c>
      <c r="CH51" s="160">
        <f t="shared" si="767"/>
        <v>0</v>
      </c>
      <c r="CI51" s="160">
        <f t="shared" si="42"/>
        <v>0</v>
      </c>
      <c r="CJ51" s="45">
        <f t="shared" si="43"/>
        <v>0</v>
      </c>
    </row>
    <row r="52" spans="1:88" ht="15" hidden="1" x14ac:dyDescent="0.25">
      <c r="A52" s="46">
        <v>44</v>
      </c>
      <c r="B52" s="51"/>
      <c r="C52" s="52"/>
      <c r="D52" s="42"/>
      <c r="E52" s="170"/>
      <c r="F52" s="167">
        <f t="shared" si="436"/>
        <v>0</v>
      </c>
      <c r="G52" s="91"/>
      <c r="H52" s="143">
        <f t="shared" si="9"/>
        <v>0</v>
      </c>
      <c r="I52" s="91"/>
      <c r="J52" s="143">
        <f t="shared" ref="J52" si="998">I52*$E52</f>
        <v>0</v>
      </c>
      <c r="K52" s="91"/>
      <c r="L52" s="143">
        <f t="shared" ref="L52" si="999">K52*$E52</f>
        <v>0</v>
      </c>
      <c r="M52" s="91"/>
      <c r="N52" s="144">
        <f t="shared" ref="N52" si="1000">M52*$E52</f>
        <v>0</v>
      </c>
      <c r="O52" s="91"/>
      <c r="P52" s="145">
        <f t="shared" ref="P52" si="1001">O52*$E52</f>
        <v>0</v>
      </c>
      <c r="Q52" s="91"/>
      <c r="R52" s="143">
        <f t="shared" ref="R52" si="1002">Q52*$E52</f>
        <v>0</v>
      </c>
      <c r="S52" s="91"/>
      <c r="T52" s="143">
        <f t="shared" ref="T52" si="1003">S52*$E52</f>
        <v>0</v>
      </c>
      <c r="U52" s="91"/>
      <c r="V52" s="143">
        <f t="shared" ref="V52" si="1004">U52*$E52</f>
        <v>0</v>
      </c>
      <c r="W52" s="91"/>
      <c r="X52" s="143">
        <f t="shared" ref="X52" si="1005">W52*$E52</f>
        <v>0</v>
      </c>
      <c r="Y52" s="91"/>
      <c r="Z52" s="143">
        <f t="shared" ref="Z52" si="1006">Y52*$E52</f>
        <v>0</v>
      </c>
      <c r="AA52" s="91"/>
      <c r="AB52" s="143">
        <f t="shared" ref="AB52" si="1007">AA52*$E52</f>
        <v>0</v>
      </c>
      <c r="AC52" s="91"/>
      <c r="AD52" s="143">
        <f t="shared" ref="AD52" si="1008">AC52*$E52</f>
        <v>0</v>
      </c>
      <c r="AE52" s="91"/>
      <c r="AF52" s="143">
        <f t="shared" ref="AF52" si="1009">AE52*$E52</f>
        <v>0</v>
      </c>
      <c r="AG52" s="91"/>
      <c r="AH52" s="143">
        <f t="shared" ref="AH52" si="1010">AG52*$E52</f>
        <v>0</v>
      </c>
      <c r="AI52" s="91"/>
      <c r="AJ52" s="143">
        <f t="shared" ref="AJ52" si="1011">AI52*$E52</f>
        <v>0</v>
      </c>
      <c r="AK52" s="91"/>
      <c r="AL52" s="143">
        <f t="shared" si="24"/>
        <v>0</v>
      </c>
      <c r="AM52" s="91"/>
      <c r="AN52" s="143">
        <f t="shared" si="25"/>
        <v>0</v>
      </c>
      <c r="AO52" s="91"/>
      <c r="AP52" s="143">
        <f t="shared" si="26"/>
        <v>0</v>
      </c>
      <c r="AQ52" s="91"/>
      <c r="AR52" s="143">
        <f t="shared" si="27"/>
        <v>0</v>
      </c>
      <c r="AS52" s="91"/>
      <c r="AT52" s="143">
        <f t="shared" si="28"/>
        <v>0</v>
      </c>
      <c r="AU52" s="91"/>
      <c r="AV52" s="143">
        <f t="shared" si="29"/>
        <v>0</v>
      </c>
      <c r="AW52" s="91"/>
      <c r="AX52" s="143">
        <f t="shared" si="30"/>
        <v>0</v>
      </c>
      <c r="AY52" s="46">
        <v>44</v>
      </c>
      <c r="AZ52" s="155">
        <f t="shared" si="750"/>
        <v>0</v>
      </c>
      <c r="BA52" s="143">
        <f t="shared" si="751"/>
        <v>0</v>
      </c>
      <c r="BB52" s="47">
        <v>44</v>
      </c>
      <c r="BC52" s="158">
        <f t="shared" si="752"/>
        <v>0</v>
      </c>
      <c r="BD52" s="145">
        <f t="shared" si="753"/>
        <v>0</v>
      </c>
      <c r="BE52" s="150"/>
      <c r="BF52" s="143">
        <f t="shared" si="31"/>
        <v>0</v>
      </c>
      <c r="BG52" s="150"/>
      <c r="BH52" s="143">
        <f t="shared" si="31"/>
        <v>0</v>
      </c>
      <c r="BI52" s="150"/>
      <c r="BJ52" s="143">
        <f t="shared" ref="BJ52" si="1012">BI52*$E52</f>
        <v>0</v>
      </c>
      <c r="BK52" s="150"/>
      <c r="BL52" s="143">
        <f t="shared" ref="BL52" si="1013">BK52*$E52</f>
        <v>0</v>
      </c>
      <c r="BM52" s="150"/>
      <c r="BN52" s="143">
        <f t="shared" ref="BN52" si="1014">BM52*$E52</f>
        <v>0</v>
      </c>
      <c r="BO52" s="150"/>
      <c r="BP52" s="143">
        <f t="shared" ref="BP52" si="1015">BO52*$E52</f>
        <v>0</v>
      </c>
      <c r="BQ52" s="150"/>
      <c r="BR52" s="143">
        <f t="shared" ref="BR52" si="1016">BQ52*$E52</f>
        <v>0</v>
      </c>
      <c r="BS52" s="150"/>
      <c r="BT52" s="143">
        <f t="shared" ref="BT52" si="1017">BS52*$E52</f>
        <v>0</v>
      </c>
      <c r="BU52" s="150"/>
      <c r="BV52" s="143">
        <f t="shared" ref="BV52" si="1018">BU52*$E52</f>
        <v>0</v>
      </c>
      <c r="BW52" s="150"/>
      <c r="BX52" s="143">
        <f t="shared" ref="BX52" si="1019">BW52*$E52</f>
        <v>0</v>
      </c>
      <c r="BY52" s="150"/>
      <c r="BZ52" s="143">
        <f t="shared" ref="BZ52" si="1020">BY52*$E52</f>
        <v>0</v>
      </c>
      <c r="CA52" s="49">
        <v>48</v>
      </c>
      <c r="CB52" s="149">
        <f t="shared" si="41"/>
        <v>0</v>
      </c>
      <c r="CC52" s="143">
        <f t="shared" si="763"/>
        <v>0</v>
      </c>
      <c r="CD52" s="46">
        <v>44</v>
      </c>
      <c r="CE52" s="48">
        <f t="shared" si="764"/>
        <v>0</v>
      </c>
      <c r="CF52" s="174">
        <f t="shared" si="765"/>
        <v>0</v>
      </c>
      <c r="CG52" s="162">
        <f t="shared" si="766"/>
        <v>0</v>
      </c>
      <c r="CH52" s="160">
        <f t="shared" si="767"/>
        <v>0</v>
      </c>
      <c r="CI52" s="160">
        <f t="shared" si="42"/>
        <v>0</v>
      </c>
      <c r="CJ52" s="45">
        <f t="shared" si="43"/>
        <v>0</v>
      </c>
    </row>
    <row r="53" spans="1:88" ht="15" hidden="1" x14ac:dyDescent="0.25">
      <c r="A53" s="49">
        <v>45</v>
      </c>
      <c r="B53" s="51"/>
      <c r="C53" s="52"/>
      <c r="D53" s="42"/>
      <c r="E53" s="170"/>
      <c r="F53" s="167">
        <f t="shared" si="436"/>
        <v>0</v>
      </c>
      <c r="G53" s="90"/>
      <c r="H53" s="143">
        <f t="shared" si="9"/>
        <v>0</v>
      </c>
      <c r="I53" s="90"/>
      <c r="J53" s="143">
        <f t="shared" ref="J53" si="1021">I53*$E53</f>
        <v>0</v>
      </c>
      <c r="K53" s="90"/>
      <c r="L53" s="143">
        <f t="shared" ref="L53" si="1022">K53*$E53</f>
        <v>0</v>
      </c>
      <c r="M53" s="90"/>
      <c r="N53" s="144">
        <f t="shared" ref="N53" si="1023">M53*$E53</f>
        <v>0</v>
      </c>
      <c r="O53" s="90"/>
      <c r="P53" s="145">
        <f t="shared" ref="P53" si="1024">O53*$E53</f>
        <v>0</v>
      </c>
      <c r="Q53" s="90"/>
      <c r="R53" s="143">
        <f t="shared" ref="R53" si="1025">Q53*$E53</f>
        <v>0</v>
      </c>
      <c r="S53" s="90"/>
      <c r="T53" s="143">
        <f t="shared" ref="T53" si="1026">S53*$E53</f>
        <v>0</v>
      </c>
      <c r="U53" s="90"/>
      <c r="V53" s="143">
        <f t="shared" ref="V53" si="1027">U53*$E53</f>
        <v>0</v>
      </c>
      <c r="W53" s="90"/>
      <c r="X53" s="143">
        <f t="shared" ref="X53" si="1028">W53*$E53</f>
        <v>0</v>
      </c>
      <c r="Y53" s="90"/>
      <c r="Z53" s="143">
        <f t="shared" ref="Z53" si="1029">Y53*$E53</f>
        <v>0</v>
      </c>
      <c r="AA53" s="90"/>
      <c r="AB53" s="143">
        <f t="shared" ref="AB53" si="1030">AA53*$E53</f>
        <v>0</v>
      </c>
      <c r="AC53" s="90"/>
      <c r="AD53" s="143">
        <f t="shared" ref="AD53" si="1031">AC53*$E53</f>
        <v>0</v>
      </c>
      <c r="AE53" s="90"/>
      <c r="AF53" s="143">
        <f t="shared" ref="AF53" si="1032">AE53*$E53</f>
        <v>0</v>
      </c>
      <c r="AG53" s="90"/>
      <c r="AH53" s="143">
        <f t="shared" ref="AH53" si="1033">AG53*$E53</f>
        <v>0</v>
      </c>
      <c r="AI53" s="90"/>
      <c r="AJ53" s="143">
        <f t="shared" ref="AJ53" si="1034">AI53*$E53</f>
        <v>0</v>
      </c>
      <c r="AK53" s="90"/>
      <c r="AL53" s="143">
        <f t="shared" si="24"/>
        <v>0</v>
      </c>
      <c r="AM53" s="90"/>
      <c r="AN53" s="143">
        <f t="shared" si="25"/>
        <v>0</v>
      </c>
      <c r="AO53" s="90"/>
      <c r="AP53" s="143">
        <f t="shared" si="26"/>
        <v>0</v>
      </c>
      <c r="AQ53" s="90"/>
      <c r="AR53" s="143">
        <f t="shared" si="27"/>
        <v>0</v>
      </c>
      <c r="AS53" s="90"/>
      <c r="AT53" s="143">
        <f t="shared" si="28"/>
        <v>0</v>
      </c>
      <c r="AU53" s="90"/>
      <c r="AV53" s="143">
        <f t="shared" si="29"/>
        <v>0</v>
      </c>
      <c r="AW53" s="90"/>
      <c r="AX53" s="143">
        <f t="shared" si="30"/>
        <v>0</v>
      </c>
      <c r="AY53" s="49">
        <v>45</v>
      </c>
      <c r="AZ53" s="155">
        <f t="shared" si="750"/>
        <v>0</v>
      </c>
      <c r="BA53" s="143">
        <f t="shared" si="751"/>
        <v>0</v>
      </c>
      <c r="BB53" s="50">
        <v>45</v>
      </c>
      <c r="BC53" s="158">
        <f t="shared" si="752"/>
        <v>0</v>
      </c>
      <c r="BD53" s="145">
        <f t="shared" si="753"/>
        <v>0</v>
      </c>
      <c r="BE53" s="150"/>
      <c r="BF53" s="143">
        <f t="shared" si="31"/>
        <v>0</v>
      </c>
      <c r="BG53" s="150"/>
      <c r="BH53" s="143">
        <f t="shared" si="31"/>
        <v>0</v>
      </c>
      <c r="BI53" s="150"/>
      <c r="BJ53" s="143">
        <f t="shared" ref="BJ53" si="1035">BI53*$E53</f>
        <v>0</v>
      </c>
      <c r="BK53" s="150"/>
      <c r="BL53" s="143">
        <f t="shared" ref="BL53" si="1036">BK53*$E53</f>
        <v>0</v>
      </c>
      <c r="BM53" s="150"/>
      <c r="BN53" s="143">
        <f t="shared" ref="BN53" si="1037">BM53*$E53</f>
        <v>0</v>
      </c>
      <c r="BO53" s="150"/>
      <c r="BP53" s="143">
        <f t="shared" ref="BP53" si="1038">BO53*$E53</f>
        <v>0</v>
      </c>
      <c r="BQ53" s="150"/>
      <c r="BR53" s="143">
        <f t="shared" ref="BR53" si="1039">BQ53*$E53</f>
        <v>0</v>
      </c>
      <c r="BS53" s="150"/>
      <c r="BT53" s="143">
        <f t="shared" ref="BT53" si="1040">BS53*$E53</f>
        <v>0</v>
      </c>
      <c r="BU53" s="150"/>
      <c r="BV53" s="143">
        <f t="shared" ref="BV53" si="1041">BU53*$E53</f>
        <v>0</v>
      </c>
      <c r="BW53" s="150"/>
      <c r="BX53" s="143">
        <f t="shared" ref="BX53" si="1042">BW53*$E53</f>
        <v>0</v>
      </c>
      <c r="BY53" s="150"/>
      <c r="BZ53" s="143">
        <f t="shared" ref="BZ53" si="1043">BY53*$E53</f>
        <v>0</v>
      </c>
      <c r="CA53" s="46">
        <v>49</v>
      </c>
      <c r="CB53" s="149">
        <f t="shared" si="41"/>
        <v>0</v>
      </c>
      <c r="CC53" s="143">
        <f t="shared" si="763"/>
        <v>0</v>
      </c>
      <c r="CD53" s="49">
        <v>45</v>
      </c>
      <c r="CE53" s="48">
        <f t="shared" si="764"/>
        <v>0</v>
      </c>
      <c r="CF53" s="174">
        <f t="shared" si="765"/>
        <v>0</v>
      </c>
      <c r="CG53" s="162">
        <f t="shared" si="766"/>
        <v>0</v>
      </c>
      <c r="CH53" s="160">
        <f t="shared" si="767"/>
        <v>0</v>
      </c>
      <c r="CI53" s="160">
        <f t="shared" si="42"/>
        <v>0</v>
      </c>
      <c r="CJ53" s="45">
        <f t="shared" si="43"/>
        <v>0</v>
      </c>
    </row>
    <row r="54" spans="1:88" ht="15" hidden="1" x14ac:dyDescent="0.25">
      <c r="A54" s="46">
        <v>46</v>
      </c>
      <c r="B54" s="51"/>
      <c r="C54" s="52"/>
      <c r="D54" s="42"/>
      <c r="E54" s="170"/>
      <c r="F54" s="167">
        <f t="shared" si="436"/>
        <v>0</v>
      </c>
      <c r="G54" s="91"/>
      <c r="H54" s="143">
        <f t="shared" si="9"/>
        <v>0</v>
      </c>
      <c r="I54" s="91"/>
      <c r="J54" s="143">
        <f t="shared" ref="J54" si="1044">I54*$E54</f>
        <v>0</v>
      </c>
      <c r="K54" s="91"/>
      <c r="L54" s="143">
        <f t="shared" ref="L54" si="1045">K54*$E54</f>
        <v>0</v>
      </c>
      <c r="M54" s="91"/>
      <c r="N54" s="144">
        <f t="shared" ref="N54" si="1046">M54*$E54</f>
        <v>0</v>
      </c>
      <c r="O54" s="91"/>
      <c r="P54" s="145">
        <f t="shared" ref="P54" si="1047">O54*$E54</f>
        <v>0</v>
      </c>
      <c r="Q54" s="91"/>
      <c r="R54" s="143">
        <f t="shared" ref="R54" si="1048">Q54*$E54</f>
        <v>0</v>
      </c>
      <c r="S54" s="91"/>
      <c r="T54" s="143">
        <f t="shared" ref="T54" si="1049">S54*$E54</f>
        <v>0</v>
      </c>
      <c r="U54" s="91"/>
      <c r="V54" s="143">
        <f t="shared" ref="V54" si="1050">U54*$E54</f>
        <v>0</v>
      </c>
      <c r="W54" s="91"/>
      <c r="X54" s="143">
        <f t="shared" ref="X54" si="1051">W54*$E54</f>
        <v>0</v>
      </c>
      <c r="Y54" s="91"/>
      <c r="Z54" s="143">
        <f t="shared" ref="Z54" si="1052">Y54*$E54</f>
        <v>0</v>
      </c>
      <c r="AA54" s="91"/>
      <c r="AB54" s="143">
        <f t="shared" ref="AB54" si="1053">AA54*$E54</f>
        <v>0</v>
      </c>
      <c r="AC54" s="91"/>
      <c r="AD54" s="143">
        <f t="shared" ref="AD54" si="1054">AC54*$E54</f>
        <v>0</v>
      </c>
      <c r="AE54" s="91"/>
      <c r="AF54" s="143">
        <f t="shared" ref="AF54" si="1055">AE54*$E54</f>
        <v>0</v>
      </c>
      <c r="AG54" s="91"/>
      <c r="AH54" s="143">
        <f t="shared" ref="AH54" si="1056">AG54*$E54</f>
        <v>0</v>
      </c>
      <c r="AI54" s="91"/>
      <c r="AJ54" s="143">
        <f t="shared" ref="AJ54" si="1057">AI54*$E54</f>
        <v>0</v>
      </c>
      <c r="AK54" s="91"/>
      <c r="AL54" s="143">
        <f t="shared" si="24"/>
        <v>0</v>
      </c>
      <c r="AM54" s="91"/>
      <c r="AN54" s="143">
        <f t="shared" si="25"/>
        <v>0</v>
      </c>
      <c r="AO54" s="91"/>
      <c r="AP54" s="143">
        <f t="shared" si="26"/>
        <v>0</v>
      </c>
      <c r="AQ54" s="91"/>
      <c r="AR54" s="143">
        <f t="shared" si="27"/>
        <v>0</v>
      </c>
      <c r="AS54" s="91"/>
      <c r="AT54" s="143">
        <f t="shared" si="28"/>
        <v>0</v>
      </c>
      <c r="AU54" s="91"/>
      <c r="AV54" s="143">
        <f t="shared" si="29"/>
        <v>0</v>
      </c>
      <c r="AW54" s="91"/>
      <c r="AX54" s="143">
        <f t="shared" si="30"/>
        <v>0</v>
      </c>
      <c r="AY54" s="46">
        <v>46</v>
      </c>
      <c r="AZ54" s="155">
        <f t="shared" si="750"/>
        <v>0</v>
      </c>
      <c r="BA54" s="143">
        <f t="shared" si="751"/>
        <v>0</v>
      </c>
      <c r="BB54" s="47">
        <v>46</v>
      </c>
      <c r="BC54" s="158">
        <f t="shared" si="752"/>
        <v>0</v>
      </c>
      <c r="BD54" s="145">
        <f t="shared" si="753"/>
        <v>0</v>
      </c>
      <c r="BE54" s="150"/>
      <c r="BF54" s="143">
        <f t="shared" si="31"/>
        <v>0</v>
      </c>
      <c r="BG54" s="150"/>
      <c r="BH54" s="143">
        <f t="shared" si="31"/>
        <v>0</v>
      </c>
      <c r="BI54" s="150"/>
      <c r="BJ54" s="143">
        <f t="shared" ref="BJ54" si="1058">BI54*$E54</f>
        <v>0</v>
      </c>
      <c r="BK54" s="150"/>
      <c r="BL54" s="143">
        <f t="shared" ref="BL54" si="1059">BK54*$E54</f>
        <v>0</v>
      </c>
      <c r="BM54" s="150"/>
      <c r="BN54" s="143">
        <f t="shared" ref="BN54" si="1060">BM54*$E54</f>
        <v>0</v>
      </c>
      <c r="BO54" s="150"/>
      <c r="BP54" s="143">
        <f t="shared" ref="BP54" si="1061">BO54*$E54</f>
        <v>0</v>
      </c>
      <c r="BQ54" s="150"/>
      <c r="BR54" s="143">
        <f t="shared" ref="BR54" si="1062">BQ54*$E54</f>
        <v>0</v>
      </c>
      <c r="BS54" s="150"/>
      <c r="BT54" s="143">
        <f t="shared" ref="BT54" si="1063">BS54*$E54</f>
        <v>0</v>
      </c>
      <c r="BU54" s="150"/>
      <c r="BV54" s="143">
        <f t="shared" ref="BV54" si="1064">BU54*$E54</f>
        <v>0</v>
      </c>
      <c r="BW54" s="150"/>
      <c r="BX54" s="143">
        <f t="shared" ref="BX54" si="1065">BW54*$E54</f>
        <v>0</v>
      </c>
      <c r="BY54" s="150"/>
      <c r="BZ54" s="143">
        <f t="shared" ref="BZ54" si="1066">BY54*$E54</f>
        <v>0</v>
      </c>
      <c r="CA54" s="49">
        <v>50</v>
      </c>
      <c r="CB54" s="149">
        <f t="shared" si="41"/>
        <v>0</v>
      </c>
      <c r="CC54" s="143">
        <f t="shared" si="763"/>
        <v>0</v>
      </c>
      <c r="CD54" s="46">
        <v>46</v>
      </c>
      <c r="CE54" s="48">
        <f t="shared" si="764"/>
        <v>0</v>
      </c>
      <c r="CF54" s="174">
        <f t="shared" si="765"/>
        <v>0</v>
      </c>
      <c r="CG54" s="162">
        <f t="shared" si="766"/>
        <v>0</v>
      </c>
      <c r="CH54" s="160">
        <f t="shared" si="767"/>
        <v>0</v>
      </c>
      <c r="CI54" s="160">
        <f t="shared" si="42"/>
        <v>0</v>
      </c>
      <c r="CJ54" s="45">
        <f t="shared" si="43"/>
        <v>0</v>
      </c>
    </row>
    <row r="55" spans="1:88" ht="15" hidden="1" x14ac:dyDescent="0.25">
      <c r="A55" s="49">
        <v>47</v>
      </c>
      <c r="B55" s="51"/>
      <c r="C55" s="52"/>
      <c r="D55" s="42"/>
      <c r="E55" s="170"/>
      <c r="F55" s="167">
        <f t="shared" si="436"/>
        <v>0</v>
      </c>
      <c r="G55" s="90"/>
      <c r="H55" s="143">
        <f t="shared" si="9"/>
        <v>0</v>
      </c>
      <c r="I55" s="90"/>
      <c r="J55" s="143">
        <f t="shared" ref="J55" si="1067">I55*$E55</f>
        <v>0</v>
      </c>
      <c r="K55" s="90"/>
      <c r="L55" s="143">
        <f t="shared" ref="L55" si="1068">K55*$E55</f>
        <v>0</v>
      </c>
      <c r="M55" s="90"/>
      <c r="N55" s="144">
        <f t="shared" ref="N55" si="1069">M55*$E55</f>
        <v>0</v>
      </c>
      <c r="O55" s="90"/>
      <c r="P55" s="145">
        <f t="shared" ref="P55" si="1070">O55*$E55</f>
        <v>0</v>
      </c>
      <c r="Q55" s="90"/>
      <c r="R55" s="143">
        <f t="shared" ref="R55" si="1071">Q55*$E55</f>
        <v>0</v>
      </c>
      <c r="S55" s="90"/>
      <c r="T55" s="143">
        <f t="shared" ref="T55" si="1072">S55*$E55</f>
        <v>0</v>
      </c>
      <c r="U55" s="90"/>
      <c r="V55" s="143">
        <f t="shared" ref="V55" si="1073">U55*$E55</f>
        <v>0</v>
      </c>
      <c r="W55" s="90"/>
      <c r="X55" s="143">
        <f t="shared" ref="X55" si="1074">W55*$E55</f>
        <v>0</v>
      </c>
      <c r="Y55" s="90"/>
      <c r="Z55" s="143">
        <f t="shared" ref="Z55" si="1075">Y55*$E55</f>
        <v>0</v>
      </c>
      <c r="AA55" s="90"/>
      <c r="AB55" s="143">
        <f t="shared" ref="AB55" si="1076">AA55*$E55</f>
        <v>0</v>
      </c>
      <c r="AC55" s="90"/>
      <c r="AD55" s="143">
        <f t="shared" ref="AD55" si="1077">AC55*$E55</f>
        <v>0</v>
      </c>
      <c r="AE55" s="90"/>
      <c r="AF55" s="143">
        <f t="shared" ref="AF55" si="1078">AE55*$E55</f>
        <v>0</v>
      </c>
      <c r="AG55" s="90"/>
      <c r="AH55" s="143">
        <f t="shared" ref="AH55" si="1079">AG55*$E55</f>
        <v>0</v>
      </c>
      <c r="AI55" s="90"/>
      <c r="AJ55" s="143">
        <f t="shared" ref="AJ55" si="1080">AI55*$E55</f>
        <v>0</v>
      </c>
      <c r="AK55" s="90"/>
      <c r="AL55" s="143">
        <f t="shared" si="24"/>
        <v>0</v>
      </c>
      <c r="AM55" s="90"/>
      <c r="AN55" s="143">
        <f t="shared" si="25"/>
        <v>0</v>
      </c>
      <c r="AO55" s="90"/>
      <c r="AP55" s="143">
        <f t="shared" si="26"/>
        <v>0</v>
      </c>
      <c r="AQ55" s="90"/>
      <c r="AR55" s="143">
        <f t="shared" si="27"/>
        <v>0</v>
      </c>
      <c r="AS55" s="90"/>
      <c r="AT55" s="143">
        <f t="shared" si="28"/>
        <v>0</v>
      </c>
      <c r="AU55" s="90"/>
      <c r="AV55" s="143">
        <f t="shared" si="29"/>
        <v>0</v>
      </c>
      <c r="AW55" s="90"/>
      <c r="AX55" s="143">
        <f t="shared" si="30"/>
        <v>0</v>
      </c>
      <c r="AY55" s="49">
        <v>47</v>
      </c>
      <c r="AZ55" s="155">
        <f t="shared" si="750"/>
        <v>0</v>
      </c>
      <c r="BA55" s="143">
        <f t="shared" si="751"/>
        <v>0</v>
      </c>
      <c r="BB55" s="50">
        <v>47</v>
      </c>
      <c r="BC55" s="158">
        <f t="shared" si="752"/>
        <v>0</v>
      </c>
      <c r="BD55" s="145">
        <f t="shared" si="753"/>
        <v>0</v>
      </c>
      <c r="BE55" s="150"/>
      <c r="BF55" s="143">
        <f t="shared" si="31"/>
        <v>0</v>
      </c>
      <c r="BG55" s="150"/>
      <c r="BH55" s="143">
        <f t="shared" si="31"/>
        <v>0</v>
      </c>
      <c r="BI55" s="150"/>
      <c r="BJ55" s="143">
        <f t="shared" ref="BJ55" si="1081">BI55*$E55</f>
        <v>0</v>
      </c>
      <c r="BK55" s="150"/>
      <c r="BL55" s="143">
        <f t="shared" ref="BL55" si="1082">BK55*$E55</f>
        <v>0</v>
      </c>
      <c r="BM55" s="150"/>
      <c r="BN55" s="143">
        <f t="shared" ref="BN55" si="1083">BM55*$E55</f>
        <v>0</v>
      </c>
      <c r="BO55" s="150"/>
      <c r="BP55" s="143">
        <f t="shared" ref="BP55" si="1084">BO55*$E55</f>
        <v>0</v>
      </c>
      <c r="BQ55" s="150"/>
      <c r="BR55" s="143">
        <f t="shared" ref="BR55" si="1085">BQ55*$E55</f>
        <v>0</v>
      </c>
      <c r="BS55" s="150"/>
      <c r="BT55" s="143">
        <f t="shared" ref="BT55" si="1086">BS55*$E55</f>
        <v>0</v>
      </c>
      <c r="BU55" s="150"/>
      <c r="BV55" s="143">
        <f t="shared" ref="BV55" si="1087">BU55*$E55</f>
        <v>0</v>
      </c>
      <c r="BW55" s="150"/>
      <c r="BX55" s="143">
        <f t="shared" ref="BX55" si="1088">BW55*$E55</f>
        <v>0</v>
      </c>
      <c r="BY55" s="150"/>
      <c r="BZ55" s="143">
        <f t="shared" ref="BZ55" si="1089">BY55*$E55</f>
        <v>0</v>
      </c>
      <c r="CA55" s="46">
        <v>51</v>
      </c>
      <c r="CB55" s="149">
        <f t="shared" si="41"/>
        <v>0</v>
      </c>
      <c r="CC55" s="143">
        <f t="shared" si="763"/>
        <v>0</v>
      </c>
      <c r="CD55" s="49">
        <v>47</v>
      </c>
      <c r="CE55" s="48">
        <f t="shared" si="764"/>
        <v>0</v>
      </c>
      <c r="CF55" s="174">
        <f t="shared" si="765"/>
        <v>0</v>
      </c>
      <c r="CG55" s="162">
        <f t="shared" si="766"/>
        <v>0</v>
      </c>
      <c r="CH55" s="160">
        <f t="shared" si="767"/>
        <v>0</v>
      </c>
      <c r="CI55" s="160">
        <f t="shared" si="42"/>
        <v>0</v>
      </c>
      <c r="CJ55" s="45">
        <f t="shared" si="43"/>
        <v>0</v>
      </c>
    </row>
    <row r="56" spans="1:88" ht="15" hidden="1" x14ac:dyDescent="0.25">
      <c r="A56" s="46">
        <v>48</v>
      </c>
      <c r="B56" s="51"/>
      <c r="C56" s="52"/>
      <c r="D56" s="42"/>
      <c r="E56" s="170"/>
      <c r="F56" s="167">
        <f t="shared" si="436"/>
        <v>0</v>
      </c>
      <c r="G56" s="91"/>
      <c r="H56" s="143">
        <f t="shared" si="9"/>
        <v>0</v>
      </c>
      <c r="I56" s="91"/>
      <c r="J56" s="143">
        <f t="shared" ref="J56" si="1090">I56*$E56</f>
        <v>0</v>
      </c>
      <c r="K56" s="91"/>
      <c r="L56" s="143">
        <f t="shared" ref="L56" si="1091">K56*$E56</f>
        <v>0</v>
      </c>
      <c r="M56" s="91"/>
      <c r="N56" s="144">
        <f t="shared" ref="N56" si="1092">M56*$E56</f>
        <v>0</v>
      </c>
      <c r="O56" s="91"/>
      <c r="P56" s="145">
        <f t="shared" ref="P56" si="1093">O56*$E56</f>
        <v>0</v>
      </c>
      <c r="Q56" s="91"/>
      <c r="R56" s="143">
        <f t="shared" ref="R56" si="1094">Q56*$E56</f>
        <v>0</v>
      </c>
      <c r="S56" s="91"/>
      <c r="T56" s="143">
        <f t="shared" ref="T56" si="1095">S56*$E56</f>
        <v>0</v>
      </c>
      <c r="U56" s="91"/>
      <c r="V56" s="143">
        <f t="shared" ref="V56" si="1096">U56*$E56</f>
        <v>0</v>
      </c>
      <c r="W56" s="91"/>
      <c r="X56" s="143">
        <f t="shared" ref="X56" si="1097">W56*$E56</f>
        <v>0</v>
      </c>
      <c r="Y56" s="91"/>
      <c r="Z56" s="143">
        <f t="shared" ref="Z56" si="1098">Y56*$E56</f>
        <v>0</v>
      </c>
      <c r="AA56" s="91"/>
      <c r="AB56" s="143">
        <f t="shared" ref="AB56" si="1099">AA56*$E56</f>
        <v>0</v>
      </c>
      <c r="AC56" s="91"/>
      <c r="AD56" s="143">
        <f t="shared" ref="AD56" si="1100">AC56*$E56</f>
        <v>0</v>
      </c>
      <c r="AE56" s="91"/>
      <c r="AF56" s="143">
        <f t="shared" ref="AF56" si="1101">AE56*$E56</f>
        <v>0</v>
      </c>
      <c r="AG56" s="91"/>
      <c r="AH56" s="143">
        <f t="shared" ref="AH56" si="1102">AG56*$E56</f>
        <v>0</v>
      </c>
      <c r="AI56" s="91"/>
      <c r="AJ56" s="143">
        <f t="shared" ref="AJ56" si="1103">AI56*$E56</f>
        <v>0</v>
      </c>
      <c r="AK56" s="91"/>
      <c r="AL56" s="143">
        <f t="shared" si="24"/>
        <v>0</v>
      </c>
      <c r="AM56" s="91"/>
      <c r="AN56" s="143">
        <f t="shared" si="25"/>
        <v>0</v>
      </c>
      <c r="AO56" s="91"/>
      <c r="AP56" s="143">
        <f t="shared" si="26"/>
        <v>0</v>
      </c>
      <c r="AQ56" s="91"/>
      <c r="AR56" s="143">
        <f t="shared" si="27"/>
        <v>0</v>
      </c>
      <c r="AS56" s="91"/>
      <c r="AT56" s="143">
        <f t="shared" si="28"/>
        <v>0</v>
      </c>
      <c r="AU56" s="91"/>
      <c r="AV56" s="143">
        <f t="shared" si="29"/>
        <v>0</v>
      </c>
      <c r="AW56" s="91"/>
      <c r="AX56" s="143">
        <f t="shared" si="30"/>
        <v>0</v>
      </c>
      <c r="AY56" s="46">
        <v>48</v>
      </c>
      <c r="AZ56" s="155">
        <f t="shared" si="750"/>
        <v>0</v>
      </c>
      <c r="BA56" s="143">
        <f t="shared" si="751"/>
        <v>0</v>
      </c>
      <c r="BB56" s="47">
        <v>48</v>
      </c>
      <c r="BC56" s="158">
        <f t="shared" si="752"/>
        <v>0</v>
      </c>
      <c r="BD56" s="145">
        <f t="shared" si="753"/>
        <v>0</v>
      </c>
      <c r="BE56" s="150"/>
      <c r="BF56" s="143">
        <f t="shared" si="31"/>
        <v>0</v>
      </c>
      <c r="BG56" s="150"/>
      <c r="BH56" s="143">
        <f t="shared" si="31"/>
        <v>0</v>
      </c>
      <c r="BI56" s="150"/>
      <c r="BJ56" s="143">
        <f t="shared" ref="BJ56" si="1104">BI56*$E56</f>
        <v>0</v>
      </c>
      <c r="BK56" s="150"/>
      <c r="BL56" s="143">
        <f t="shared" ref="BL56" si="1105">BK56*$E56</f>
        <v>0</v>
      </c>
      <c r="BM56" s="150"/>
      <c r="BN56" s="143">
        <f t="shared" ref="BN56" si="1106">BM56*$E56</f>
        <v>0</v>
      </c>
      <c r="BO56" s="150"/>
      <c r="BP56" s="143">
        <f t="shared" ref="BP56" si="1107">BO56*$E56</f>
        <v>0</v>
      </c>
      <c r="BQ56" s="150"/>
      <c r="BR56" s="143">
        <f t="shared" ref="BR56" si="1108">BQ56*$E56</f>
        <v>0</v>
      </c>
      <c r="BS56" s="150"/>
      <c r="BT56" s="143">
        <f t="shared" ref="BT56" si="1109">BS56*$E56</f>
        <v>0</v>
      </c>
      <c r="BU56" s="150"/>
      <c r="BV56" s="143">
        <f t="shared" ref="BV56" si="1110">BU56*$E56</f>
        <v>0</v>
      </c>
      <c r="BW56" s="150"/>
      <c r="BX56" s="143">
        <f t="shared" ref="BX56" si="1111">BW56*$E56</f>
        <v>0</v>
      </c>
      <c r="BY56" s="150"/>
      <c r="BZ56" s="143">
        <f t="shared" ref="BZ56" si="1112">BY56*$E56</f>
        <v>0</v>
      </c>
      <c r="CA56" s="49">
        <v>52</v>
      </c>
      <c r="CB56" s="149">
        <f t="shared" si="41"/>
        <v>0</v>
      </c>
      <c r="CC56" s="143">
        <f t="shared" si="763"/>
        <v>0</v>
      </c>
      <c r="CD56" s="46">
        <v>48</v>
      </c>
      <c r="CE56" s="48">
        <f t="shared" si="764"/>
        <v>0</v>
      </c>
      <c r="CF56" s="174">
        <f t="shared" si="765"/>
        <v>0</v>
      </c>
      <c r="CG56" s="162">
        <f t="shared" si="766"/>
        <v>0</v>
      </c>
      <c r="CH56" s="160">
        <f t="shared" si="767"/>
        <v>0</v>
      </c>
      <c r="CI56" s="160">
        <f t="shared" si="42"/>
        <v>0</v>
      </c>
      <c r="CJ56" s="45">
        <f t="shared" si="43"/>
        <v>0</v>
      </c>
    </row>
    <row r="57" spans="1:88" ht="15" hidden="1" x14ac:dyDescent="0.25">
      <c r="A57" s="49">
        <v>49</v>
      </c>
      <c r="B57" s="51"/>
      <c r="C57" s="52"/>
      <c r="D57" s="42"/>
      <c r="E57" s="170"/>
      <c r="F57" s="167">
        <f t="shared" si="436"/>
        <v>0</v>
      </c>
      <c r="G57" s="90"/>
      <c r="H57" s="143">
        <f t="shared" si="9"/>
        <v>0</v>
      </c>
      <c r="I57" s="90"/>
      <c r="J57" s="143">
        <f t="shared" ref="J57" si="1113">I57*$E57</f>
        <v>0</v>
      </c>
      <c r="K57" s="90"/>
      <c r="L57" s="143">
        <f t="shared" ref="L57" si="1114">K57*$E57</f>
        <v>0</v>
      </c>
      <c r="M57" s="90"/>
      <c r="N57" s="144">
        <f t="shared" ref="N57" si="1115">M57*$E57</f>
        <v>0</v>
      </c>
      <c r="O57" s="90"/>
      <c r="P57" s="145">
        <f t="shared" ref="P57" si="1116">O57*$E57</f>
        <v>0</v>
      </c>
      <c r="Q57" s="90"/>
      <c r="R57" s="143">
        <f t="shared" ref="R57" si="1117">Q57*$E57</f>
        <v>0</v>
      </c>
      <c r="S57" s="90"/>
      <c r="T57" s="143">
        <f t="shared" ref="T57" si="1118">S57*$E57</f>
        <v>0</v>
      </c>
      <c r="U57" s="90"/>
      <c r="V57" s="143">
        <f t="shared" ref="V57" si="1119">U57*$E57</f>
        <v>0</v>
      </c>
      <c r="W57" s="90"/>
      <c r="X57" s="143">
        <f t="shared" ref="X57" si="1120">W57*$E57</f>
        <v>0</v>
      </c>
      <c r="Y57" s="90"/>
      <c r="Z57" s="143">
        <f t="shared" ref="Z57" si="1121">Y57*$E57</f>
        <v>0</v>
      </c>
      <c r="AA57" s="90"/>
      <c r="AB57" s="143">
        <f t="shared" ref="AB57" si="1122">AA57*$E57</f>
        <v>0</v>
      </c>
      <c r="AC57" s="90"/>
      <c r="AD57" s="143">
        <f t="shared" ref="AD57" si="1123">AC57*$E57</f>
        <v>0</v>
      </c>
      <c r="AE57" s="90"/>
      <c r="AF57" s="143">
        <f t="shared" ref="AF57" si="1124">AE57*$E57</f>
        <v>0</v>
      </c>
      <c r="AG57" s="90"/>
      <c r="AH57" s="143">
        <f t="shared" ref="AH57" si="1125">AG57*$E57</f>
        <v>0</v>
      </c>
      <c r="AI57" s="90"/>
      <c r="AJ57" s="143">
        <f t="shared" ref="AJ57" si="1126">AI57*$E57</f>
        <v>0</v>
      </c>
      <c r="AK57" s="90"/>
      <c r="AL57" s="143">
        <f t="shared" si="24"/>
        <v>0</v>
      </c>
      <c r="AM57" s="90"/>
      <c r="AN57" s="143">
        <f t="shared" si="25"/>
        <v>0</v>
      </c>
      <c r="AO57" s="90"/>
      <c r="AP57" s="143">
        <f t="shared" si="26"/>
        <v>0</v>
      </c>
      <c r="AQ57" s="90"/>
      <c r="AR57" s="143">
        <f t="shared" si="27"/>
        <v>0</v>
      </c>
      <c r="AS57" s="90"/>
      <c r="AT57" s="143">
        <f t="shared" si="28"/>
        <v>0</v>
      </c>
      <c r="AU57" s="90"/>
      <c r="AV57" s="143">
        <f t="shared" si="29"/>
        <v>0</v>
      </c>
      <c r="AW57" s="90"/>
      <c r="AX57" s="143">
        <f t="shared" si="30"/>
        <v>0</v>
      </c>
      <c r="AY57" s="49">
        <v>49</v>
      </c>
      <c r="AZ57" s="155">
        <f t="shared" si="750"/>
        <v>0</v>
      </c>
      <c r="BA57" s="143">
        <f t="shared" si="751"/>
        <v>0</v>
      </c>
      <c r="BB57" s="50">
        <v>49</v>
      </c>
      <c r="BC57" s="158">
        <f t="shared" si="752"/>
        <v>0</v>
      </c>
      <c r="BD57" s="145">
        <f t="shared" si="753"/>
        <v>0</v>
      </c>
      <c r="BE57" s="150"/>
      <c r="BF57" s="143">
        <f t="shared" si="31"/>
        <v>0</v>
      </c>
      <c r="BG57" s="150"/>
      <c r="BH57" s="143">
        <f t="shared" si="31"/>
        <v>0</v>
      </c>
      <c r="BI57" s="150"/>
      <c r="BJ57" s="143">
        <f t="shared" ref="BJ57" si="1127">BI57*$E57</f>
        <v>0</v>
      </c>
      <c r="BK57" s="150"/>
      <c r="BL57" s="143">
        <f t="shared" ref="BL57" si="1128">BK57*$E57</f>
        <v>0</v>
      </c>
      <c r="BM57" s="150"/>
      <c r="BN57" s="143">
        <f t="shared" ref="BN57" si="1129">BM57*$E57</f>
        <v>0</v>
      </c>
      <c r="BO57" s="150"/>
      <c r="BP57" s="143">
        <f t="shared" ref="BP57" si="1130">BO57*$E57</f>
        <v>0</v>
      </c>
      <c r="BQ57" s="150"/>
      <c r="BR57" s="143">
        <f t="shared" ref="BR57" si="1131">BQ57*$E57</f>
        <v>0</v>
      </c>
      <c r="BS57" s="150"/>
      <c r="BT57" s="143">
        <f t="shared" ref="BT57" si="1132">BS57*$E57</f>
        <v>0</v>
      </c>
      <c r="BU57" s="150"/>
      <c r="BV57" s="143">
        <f t="shared" ref="BV57" si="1133">BU57*$E57</f>
        <v>0</v>
      </c>
      <c r="BW57" s="150"/>
      <c r="BX57" s="143">
        <f t="shared" ref="BX57" si="1134">BW57*$E57</f>
        <v>0</v>
      </c>
      <c r="BY57" s="150"/>
      <c r="BZ57" s="143">
        <f t="shared" ref="BZ57" si="1135">BY57*$E57</f>
        <v>0</v>
      </c>
      <c r="CA57" s="46">
        <v>53</v>
      </c>
      <c r="CB57" s="149">
        <f t="shared" si="41"/>
        <v>0</v>
      </c>
      <c r="CC57" s="143">
        <f t="shared" si="763"/>
        <v>0</v>
      </c>
      <c r="CD57" s="49">
        <v>49</v>
      </c>
      <c r="CE57" s="48">
        <f t="shared" si="764"/>
        <v>0</v>
      </c>
      <c r="CF57" s="174">
        <f t="shared" si="765"/>
        <v>0</v>
      </c>
      <c r="CG57" s="162">
        <f t="shared" si="766"/>
        <v>0</v>
      </c>
      <c r="CH57" s="160">
        <f t="shared" si="767"/>
        <v>0</v>
      </c>
      <c r="CI57" s="160">
        <f t="shared" si="42"/>
        <v>0</v>
      </c>
      <c r="CJ57" s="45">
        <f t="shared" si="43"/>
        <v>0</v>
      </c>
    </row>
    <row r="58" spans="1:88" ht="15" hidden="1" x14ac:dyDescent="0.25">
      <c r="A58" s="46">
        <v>50</v>
      </c>
      <c r="B58" s="51"/>
      <c r="C58" s="52"/>
      <c r="D58" s="42"/>
      <c r="E58" s="170"/>
      <c r="F58" s="167">
        <f t="shared" si="436"/>
        <v>0</v>
      </c>
      <c r="G58" s="91"/>
      <c r="H58" s="143">
        <f t="shared" si="9"/>
        <v>0</v>
      </c>
      <c r="I58" s="91"/>
      <c r="J58" s="143">
        <f t="shared" ref="J58" si="1136">I58*$E58</f>
        <v>0</v>
      </c>
      <c r="K58" s="91"/>
      <c r="L58" s="143">
        <f t="shared" ref="L58" si="1137">K58*$E58</f>
        <v>0</v>
      </c>
      <c r="M58" s="91"/>
      <c r="N58" s="144">
        <f t="shared" ref="N58" si="1138">M58*$E58</f>
        <v>0</v>
      </c>
      <c r="O58" s="91"/>
      <c r="P58" s="145">
        <f t="shared" ref="P58" si="1139">O58*$E58</f>
        <v>0</v>
      </c>
      <c r="Q58" s="91"/>
      <c r="R58" s="143">
        <f t="shared" ref="R58" si="1140">Q58*$E58</f>
        <v>0</v>
      </c>
      <c r="S58" s="91"/>
      <c r="T58" s="143">
        <f t="shared" ref="T58" si="1141">S58*$E58</f>
        <v>0</v>
      </c>
      <c r="U58" s="91"/>
      <c r="V58" s="143">
        <f t="shared" ref="V58" si="1142">U58*$E58</f>
        <v>0</v>
      </c>
      <c r="W58" s="91"/>
      <c r="X58" s="143">
        <f t="shared" ref="X58" si="1143">W58*$E58</f>
        <v>0</v>
      </c>
      <c r="Y58" s="91"/>
      <c r="Z58" s="143">
        <f t="shared" ref="Z58" si="1144">Y58*$E58</f>
        <v>0</v>
      </c>
      <c r="AA58" s="91"/>
      <c r="AB58" s="143">
        <f t="shared" ref="AB58" si="1145">AA58*$E58</f>
        <v>0</v>
      </c>
      <c r="AC58" s="91"/>
      <c r="AD58" s="143">
        <f t="shared" ref="AD58" si="1146">AC58*$E58</f>
        <v>0</v>
      </c>
      <c r="AE58" s="91"/>
      <c r="AF58" s="143">
        <f t="shared" ref="AF58" si="1147">AE58*$E58</f>
        <v>0</v>
      </c>
      <c r="AG58" s="91"/>
      <c r="AH58" s="143">
        <f t="shared" ref="AH58" si="1148">AG58*$E58</f>
        <v>0</v>
      </c>
      <c r="AI58" s="91"/>
      <c r="AJ58" s="143">
        <f t="shared" ref="AJ58" si="1149">AI58*$E58</f>
        <v>0</v>
      </c>
      <c r="AK58" s="91"/>
      <c r="AL58" s="143">
        <f t="shared" si="24"/>
        <v>0</v>
      </c>
      <c r="AM58" s="91"/>
      <c r="AN58" s="143">
        <f t="shared" si="25"/>
        <v>0</v>
      </c>
      <c r="AO58" s="91"/>
      <c r="AP58" s="143">
        <f t="shared" si="26"/>
        <v>0</v>
      </c>
      <c r="AQ58" s="91"/>
      <c r="AR58" s="143">
        <f t="shared" si="27"/>
        <v>0</v>
      </c>
      <c r="AS58" s="91"/>
      <c r="AT58" s="143">
        <f t="shared" si="28"/>
        <v>0</v>
      </c>
      <c r="AU58" s="91"/>
      <c r="AV58" s="143">
        <f t="shared" si="29"/>
        <v>0</v>
      </c>
      <c r="AW58" s="91"/>
      <c r="AX58" s="143">
        <f t="shared" si="30"/>
        <v>0</v>
      </c>
      <c r="AY58" s="46">
        <v>50</v>
      </c>
      <c r="AZ58" s="155">
        <f t="shared" si="750"/>
        <v>0</v>
      </c>
      <c r="BA58" s="143">
        <f t="shared" si="751"/>
        <v>0</v>
      </c>
      <c r="BB58" s="47">
        <v>50</v>
      </c>
      <c r="BC58" s="158">
        <f t="shared" si="752"/>
        <v>0</v>
      </c>
      <c r="BD58" s="145">
        <f t="shared" si="753"/>
        <v>0</v>
      </c>
      <c r="BE58" s="150"/>
      <c r="BF58" s="143">
        <f t="shared" si="31"/>
        <v>0</v>
      </c>
      <c r="BG58" s="150"/>
      <c r="BH58" s="143">
        <f t="shared" si="31"/>
        <v>0</v>
      </c>
      <c r="BI58" s="150"/>
      <c r="BJ58" s="143">
        <f t="shared" ref="BJ58" si="1150">BI58*$E58</f>
        <v>0</v>
      </c>
      <c r="BK58" s="150"/>
      <c r="BL58" s="143">
        <f t="shared" ref="BL58" si="1151">BK58*$E58</f>
        <v>0</v>
      </c>
      <c r="BM58" s="150"/>
      <c r="BN58" s="143">
        <f t="shared" ref="BN58" si="1152">BM58*$E58</f>
        <v>0</v>
      </c>
      <c r="BO58" s="150"/>
      <c r="BP58" s="143">
        <f t="shared" ref="BP58" si="1153">BO58*$E58</f>
        <v>0</v>
      </c>
      <c r="BQ58" s="150"/>
      <c r="BR58" s="143">
        <f t="shared" ref="BR58" si="1154">BQ58*$E58</f>
        <v>0</v>
      </c>
      <c r="BS58" s="150"/>
      <c r="BT58" s="143">
        <f t="shared" ref="BT58" si="1155">BS58*$E58</f>
        <v>0</v>
      </c>
      <c r="BU58" s="150"/>
      <c r="BV58" s="143">
        <f t="shared" ref="BV58" si="1156">BU58*$E58</f>
        <v>0</v>
      </c>
      <c r="BW58" s="150"/>
      <c r="BX58" s="143">
        <f t="shared" ref="BX58" si="1157">BW58*$E58</f>
        <v>0</v>
      </c>
      <c r="BY58" s="150"/>
      <c r="BZ58" s="143">
        <f t="shared" ref="BZ58" si="1158">BY58*$E58</f>
        <v>0</v>
      </c>
      <c r="CA58" s="49">
        <v>54</v>
      </c>
      <c r="CB58" s="149">
        <f t="shared" si="41"/>
        <v>0</v>
      </c>
      <c r="CC58" s="143">
        <f t="shared" si="763"/>
        <v>0</v>
      </c>
      <c r="CD58" s="46">
        <v>50</v>
      </c>
      <c r="CE58" s="48">
        <f t="shared" si="764"/>
        <v>0</v>
      </c>
      <c r="CF58" s="174">
        <f t="shared" si="765"/>
        <v>0</v>
      </c>
      <c r="CG58" s="162">
        <f t="shared" si="766"/>
        <v>0</v>
      </c>
      <c r="CH58" s="160">
        <f t="shared" si="767"/>
        <v>0</v>
      </c>
      <c r="CI58" s="160">
        <f t="shared" si="42"/>
        <v>0</v>
      </c>
      <c r="CJ58" s="45">
        <f t="shared" si="43"/>
        <v>0</v>
      </c>
    </row>
    <row r="59" spans="1:88" ht="15" hidden="1" x14ac:dyDescent="0.25">
      <c r="A59" s="49">
        <v>51</v>
      </c>
      <c r="B59" s="51"/>
      <c r="C59" s="52"/>
      <c r="D59" s="42"/>
      <c r="E59" s="170"/>
      <c r="F59" s="167">
        <f t="shared" si="436"/>
        <v>0</v>
      </c>
      <c r="G59" s="90"/>
      <c r="H59" s="143">
        <f t="shared" si="9"/>
        <v>0</v>
      </c>
      <c r="I59" s="90"/>
      <c r="J59" s="143">
        <f t="shared" ref="J59" si="1159">I59*$E59</f>
        <v>0</v>
      </c>
      <c r="K59" s="90"/>
      <c r="L59" s="143">
        <f t="shared" ref="L59" si="1160">K59*$E59</f>
        <v>0</v>
      </c>
      <c r="M59" s="90"/>
      <c r="N59" s="144">
        <f t="shared" ref="N59" si="1161">M59*$E59</f>
        <v>0</v>
      </c>
      <c r="O59" s="90"/>
      <c r="P59" s="145">
        <f t="shared" ref="P59" si="1162">O59*$E59</f>
        <v>0</v>
      </c>
      <c r="Q59" s="90"/>
      <c r="R59" s="143">
        <f t="shared" ref="R59" si="1163">Q59*$E59</f>
        <v>0</v>
      </c>
      <c r="S59" s="90"/>
      <c r="T59" s="143">
        <f t="shared" ref="T59" si="1164">S59*$E59</f>
        <v>0</v>
      </c>
      <c r="U59" s="90"/>
      <c r="V59" s="143">
        <f t="shared" ref="V59" si="1165">U59*$E59</f>
        <v>0</v>
      </c>
      <c r="W59" s="90"/>
      <c r="X59" s="143">
        <f t="shared" ref="X59" si="1166">W59*$E59</f>
        <v>0</v>
      </c>
      <c r="Y59" s="90"/>
      <c r="Z59" s="143">
        <f t="shared" ref="Z59" si="1167">Y59*$E59</f>
        <v>0</v>
      </c>
      <c r="AA59" s="90"/>
      <c r="AB59" s="143">
        <f t="shared" ref="AB59" si="1168">AA59*$E59</f>
        <v>0</v>
      </c>
      <c r="AC59" s="90"/>
      <c r="AD59" s="143">
        <f t="shared" ref="AD59" si="1169">AC59*$E59</f>
        <v>0</v>
      </c>
      <c r="AE59" s="90"/>
      <c r="AF59" s="143">
        <f t="shared" ref="AF59" si="1170">AE59*$E59</f>
        <v>0</v>
      </c>
      <c r="AG59" s="90"/>
      <c r="AH59" s="143">
        <f t="shared" ref="AH59" si="1171">AG59*$E59</f>
        <v>0</v>
      </c>
      <c r="AI59" s="90"/>
      <c r="AJ59" s="143">
        <f t="shared" ref="AJ59" si="1172">AI59*$E59</f>
        <v>0</v>
      </c>
      <c r="AK59" s="90"/>
      <c r="AL59" s="143">
        <f t="shared" si="24"/>
        <v>0</v>
      </c>
      <c r="AM59" s="90"/>
      <c r="AN59" s="143">
        <f t="shared" si="25"/>
        <v>0</v>
      </c>
      <c r="AO59" s="90"/>
      <c r="AP59" s="143">
        <f t="shared" si="26"/>
        <v>0</v>
      </c>
      <c r="AQ59" s="90"/>
      <c r="AR59" s="143">
        <f t="shared" si="27"/>
        <v>0</v>
      </c>
      <c r="AS59" s="90"/>
      <c r="AT59" s="143">
        <f t="shared" si="28"/>
        <v>0</v>
      </c>
      <c r="AU59" s="90"/>
      <c r="AV59" s="143">
        <f t="shared" si="29"/>
        <v>0</v>
      </c>
      <c r="AW59" s="90"/>
      <c r="AX59" s="143">
        <f t="shared" si="30"/>
        <v>0</v>
      </c>
      <c r="AY59" s="49">
        <v>51</v>
      </c>
      <c r="AZ59" s="155">
        <f t="shared" si="750"/>
        <v>0</v>
      </c>
      <c r="BA59" s="143">
        <f t="shared" si="751"/>
        <v>0</v>
      </c>
      <c r="BB59" s="50">
        <v>51</v>
      </c>
      <c r="BC59" s="158">
        <f t="shared" si="752"/>
        <v>0</v>
      </c>
      <c r="BD59" s="145">
        <f t="shared" si="753"/>
        <v>0</v>
      </c>
      <c r="BE59" s="150"/>
      <c r="BF59" s="143">
        <f t="shared" si="31"/>
        <v>0</v>
      </c>
      <c r="BG59" s="150"/>
      <c r="BH59" s="143">
        <f t="shared" si="31"/>
        <v>0</v>
      </c>
      <c r="BI59" s="150"/>
      <c r="BJ59" s="143">
        <f t="shared" ref="BJ59" si="1173">BI59*$E59</f>
        <v>0</v>
      </c>
      <c r="BK59" s="150"/>
      <c r="BL59" s="143">
        <f t="shared" ref="BL59" si="1174">BK59*$E59</f>
        <v>0</v>
      </c>
      <c r="BM59" s="150"/>
      <c r="BN59" s="143">
        <f t="shared" ref="BN59" si="1175">BM59*$E59</f>
        <v>0</v>
      </c>
      <c r="BO59" s="150"/>
      <c r="BP59" s="143">
        <f t="shared" ref="BP59" si="1176">BO59*$E59</f>
        <v>0</v>
      </c>
      <c r="BQ59" s="150"/>
      <c r="BR59" s="143">
        <f t="shared" ref="BR59" si="1177">BQ59*$E59</f>
        <v>0</v>
      </c>
      <c r="BS59" s="150"/>
      <c r="BT59" s="143">
        <f t="shared" ref="BT59" si="1178">BS59*$E59</f>
        <v>0</v>
      </c>
      <c r="BU59" s="150"/>
      <c r="BV59" s="143">
        <f t="shared" ref="BV59" si="1179">BU59*$E59</f>
        <v>0</v>
      </c>
      <c r="BW59" s="150"/>
      <c r="BX59" s="143">
        <f t="shared" ref="BX59" si="1180">BW59*$E59</f>
        <v>0</v>
      </c>
      <c r="BY59" s="150"/>
      <c r="BZ59" s="143">
        <f t="shared" ref="BZ59" si="1181">BY59*$E59</f>
        <v>0</v>
      </c>
      <c r="CA59" s="46">
        <v>55</v>
      </c>
      <c r="CB59" s="149">
        <f t="shared" si="41"/>
        <v>0</v>
      </c>
      <c r="CC59" s="143">
        <f t="shared" si="763"/>
        <v>0</v>
      </c>
      <c r="CD59" s="49">
        <v>51</v>
      </c>
      <c r="CE59" s="48">
        <f t="shared" si="764"/>
        <v>0</v>
      </c>
      <c r="CF59" s="174">
        <f t="shared" si="765"/>
        <v>0</v>
      </c>
      <c r="CG59" s="162">
        <f t="shared" si="766"/>
        <v>0</v>
      </c>
      <c r="CH59" s="160">
        <f t="shared" si="767"/>
        <v>0</v>
      </c>
      <c r="CI59" s="160">
        <f t="shared" si="42"/>
        <v>0</v>
      </c>
      <c r="CJ59" s="45">
        <f t="shared" si="43"/>
        <v>0</v>
      </c>
    </row>
    <row r="60" spans="1:88" ht="15" hidden="1" x14ac:dyDescent="0.25">
      <c r="A60" s="46">
        <v>52</v>
      </c>
      <c r="B60" s="58"/>
      <c r="C60" s="52"/>
      <c r="D60" s="42"/>
      <c r="E60" s="170"/>
      <c r="F60" s="167">
        <f t="shared" si="436"/>
        <v>0</v>
      </c>
      <c r="G60" s="91"/>
      <c r="H60" s="143">
        <f t="shared" si="9"/>
        <v>0</v>
      </c>
      <c r="I60" s="91"/>
      <c r="J60" s="143">
        <f t="shared" ref="J60" si="1182">I60*$E60</f>
        <v>0</v>
      </c>
      <c r="K60" s="91"/>
      <c r="L60" s="143">
        <f t="shared" ref="L60" si="1183">K60*$E60</f>
        <v>0</v>
      </c>
      <c r="M60" s="91"/>
      <c r="N60" s="144">
        <f t="shared" ref="N60" si="1184">M60*$E60</f>
        <v>0</v>
      </c>
      <c r="O60" s="91"/>
      <c r="P60" s="145">
        <f t="shared" ref="P60" si="1185">O60*$E60</f>
        <v>0</v>
      </c>
      <c r="Q60" s="91"/>
      <c r="R60" s="143">
        <f t="shared" ref="R60" si="1186">Q60*$E60</f>
        <v>0</v>
      </c>
      <c r="S60" s="91"/>
      <c r="T60" s="143">
        <f t="shared" ref="T60" si="1187">S60*$E60</f>
        <v>0</v>
      </c>
      <c r="U60" s="91"/>
      <c r="V60" s="143">
        <f t="shared" ref="V60" si="1188">U60*$E60</f>
        <v>0</v>
      </c>
      <c r="W60" s="91"/>
      <c r="X60" s="143">
        <f t="shared" ref="X60" si="1189">W60*$E60</f>
        <v>0</v>
      </c>
      <c r="Y60" s="91"/>
      <c r="Z60" s="143">
        <f t="shared" ref="Z60" si="1190">Y60*$E60</f>
        <v>0</v>
      </c>
      <c r="AA60" s="91"/>
      <c r="AB60" s="143">
        <f t="shared" ref="AB60" si="1191">AA60*$E60</f>
        <v>0</v>
      </c>
      <c r="AC60" s="91"/>
      <c r="AD60" s="143">
        <f t="shared" ref="AD60" si="1192">AC60*$E60</f>
        <v>0</v>
      </c>
      <c r="AE60" s="91"/>
      <c r="AF60" s="143">
        <f t="shared" ref="AF60" si="1193">AE60*$E60</f>
        <v>0</v>
      </c>
      <c r="AG60" s="91"/>
      <c r="AH60" s="143">
        <f t="shared" ref="AH60" si="1194">AG60*$E60</f>
        <v>0</v>
      </c>
      <c r="AI60" s="91"/>
      <c r="AJ60" s="143">
        <f t="shared" ref="AJ60" si="1195">AI60*$E60</f>
        <v>0</v>
      </c>
      <c r="AK60" s="91"/>
      <c r="AL60" s="143">
        <f t="shared" si="24"/>
        <v>0</v>
      </c>
      <c r="AM60" s="91"/>
      <c r="AN60" s="143">
        <f t="shared" si="25"/>
        <v>0</v>
      </c>
      <c r="AO60" s="91"/>
      <c r="AP60" s="143">
        <f t="shared" si="26"/>
        <v>0</v>
      </c>
      <c r="AQ60" s="91"/>
      <c r="AR60" s="143">
        <f t="shared" si="27"/>
        <v>0</v>
      </c>
      <c r="AS60" s="91"/>
      <c r="AT60" s="143">
        <f t="shared" si="28"/>
        <v>0</v>
      </c>
      <c r="AU60" s="91"/>
      <c r="AV60" s="143">
        <f t="shared" si="29"/>
        <v>0</v>
      </c>
      <c r="AW60" s="91"/>
      <c r="AX60" s="143">
        <f t="shared" si="30"/>
        <v>0</v>
      </c>
      <c r="AY60" s="46">
        <v>52</v>
      </c>
      <c r="AZ60" s="155">
        <f t="shared" si="750"/>
        <v>0</v>
      </c>
      <c r="BA60" s="143">
        <f t="shared" si="751"/>
        <v>0</v>
      </c>
      <c r="BB60" s="47">
        <v>52</v>
      </c>
      <c r="BC60" s="158">
        <f t="shared" si="752"/>
        <v>0</v>
      </c>
      <c r="BD60" s="145">
        <f t="shared" si="753"/>
        <v>0</v>
      </c>
      <c r="BE60" s="150"/>
      <c r="BF60" s="143">
        <f t="shared" si="31"/>
        <v>0</v>
      </c>
      <c r="BG60" s="150"/>
      <c r="BH60" s="143">
        <f t="shared" si="31"/>
        <v>0</v>
      </c>
      <c r="BI60" s="150"/>
      <c r="BJ60" s="143">
        <f t="shared" ref="BJ60" si="1196">BI60*$E60</f>
        <v>0</v>
      </c>
      <c r="BK60" s="150"/>
      <c r="BL60" s="143">
        <f t="shared" ref="BL60" si="1197">BK60*$E60</f>
        <v>0</v>
      </c>
      <c r="BM60" s="150"/>
      <c r="BN60" s="143">
        <f t="shared" ref="BN60" si="1198">BM60*$E60</f>
        <v>0</v>
      </c>
      <c r="BO60" s="150"/>
      <c r="BP60" s="143">
        <f t="shared" ref="BP60" si="1199">BO60*$E60</f>
        <v>0</v>
      </c>
      <c r="BQ60" s="150"/>
      <c r="BR60" s="143">
        <f t="shared" ref="BR60" si="1200">BQ60*$E60</f>
        <v>0</v>
      </c>
      <c r="BS60" s="150"/>
      <c r="BT60" s="143">
        <f t="shared" ref="BT60" si="1201">BS60*$E60</f>
        <v>0</v>
      </c>
      <c r="BU60" s="150"/>
      <c r="BV60" s="143">
        <f t="shared" ref="BV60" si="1202">BU60*$E60</f>
        <v>0</v>
      </c>
      <c r="BW60" s="150"/>
      <c r="BX60" s="143">
        <f t="shared" ref="BX60" si="1203">BW60*$E60</f>
        <v>0</v>
      </c>
      <c r="BY60" s="150"/>
      <c r="BZ60" s="143">
        <f t="shared" ref="BZ60" si="1204">BY60*$E60</f>
        <v>0</v>
      </c>
      <c r="CA60" s="49">
        <v>56</v>
      </c>
      <c r="CB60" s="149">
        <f t="shared" si="41"/>
        <v>0</v>
      </c>
      <c r="CC60" s="143">
        <f t="shared" si="763"/>
        <v>0</v>
      </c>
      <c r="CD60" s="46">
        <v>52</v>
      </c>
      <c r="CE60" s="48">
        <f t="shared" si="764"/>
        <v>0</v>
      </c>
      <c r="CF60" s="174">
        <f t="shared" si="765"/>
        <v>0</v>
      </c>
      <c r="CG60" s="162">
        <f t="shared" si="766"/>
        <v>0</v>
      </c>
      <c r="CH60" s="160">
        <f t="shared" si="767"/>
        <v>0</v>
      </c>
      <c r="CI60" s="160">
        <f t="shared" si="42"/>
        <v>0</v>
      </c>
      <c r="CJ60" s="45">
        <f t="shared" si="43"/>
        <v>0</v>
      </c>
    </row>
    <row r="61" spans="1:88" ht="15.75" hidden="1" thickBot="1" x14ac:dyDescent="0.3">
      <c r="A61" s="49">
        <v>53</v>
      </c>
      <c r="B61" s="59"/>
      <c r="C61" s="60"/>
      <c r="D61" s="61"/>
      <c r="E61" s="172"/>
      <c r="F61" s="168">
        <f t="shared" si="436"/>
        <v>0</v>
      </c>
      <c r="G61" s="90"/>
      <c r="H61" s="143">
        <f t="shared" si="9"/>
        <v>0</v>
      </c>
      <c r="I61" s="90"/>
      <c r="J61" s="143">
        <f t="shared" ref="J61" si="1205">I61*$E61</f>
        <v>0</v>
      </c>
      <c r="K61" s="90"/>
      <c r="L61" s="143">
        <f t="shared" ref="L61" si="1206">K61*$E61</f>
        <v>0</v>
      </c>
      <c r="M61" s="90"/>
      <c r="N61" s="144">
        <f t="shared" ref="N61" si="1207">M61*$E61</f>
        <v>0</v>
      </c>
      <c r="O61" s="111"/>
      <c r="P61" s="146">
        <f t="shared" ref="P61" si="1208">O61*$E61</f>
        <v>0</v>
      </c>
      <c r="Q61" s="90"/>
      <c r="R61" s="143">
        <f t="shared" ref="R61" si="1209">Q61*$E61</f>
        <v>0</v>
      </c>
      <c r="S61" s="90"/>
      <c r="T61" s="143">
        <f t="shared" ref="T61" si="1210">S61*$E61</f>
        <v>0</v>
      </c>
      <c r="U61" s="90"/>
      <c r="V61" s="143">
        <f t="shared" ref="V61" si="1211">U61*$E61</f>
        <v>0</v>
      </c>
      <c r="W61" s="90"/>
      <c r="X61" s="143">
        <f t="shared" ref="X61" si="1212">W61*$E61</f>
        <v>0</v>
      </c>
      <c r="Y61" s="90"/>
      <c r="Z61" s="143">
        <f t="shared" ref="Z61" si="1213">Y61*$E61</f>
        <v>0</v>
      </c>
      <c r="AA61" s="90"/>
      <c r="AB61" s="143">
        <f t="shared" ref="AB61" si="1214">AA61*$E61</f>
        <v>0</v>
      </c>
      <c r="AC61" s="90"/>
      <c r="AD61" s="143">
        <f t="shared" ref="AD61" si="1215">AC61*$E61</f>
        <v>0</v>
      </c>
      <c r="AE61" s="90"/>
      <c r="AF61" s="143">
        <f t="shared" ref="AF61" si="1216">AE61*$E61</f>
        <v>0</v>
      </c>
      <c r="AG61" s="90"/>
      <c r="AH61" s="143">
        <f t="shared" ref="AH61" si="1217">AG61*$E61</f>
        <v>0</v>
      </c>
      <c r="AI61" s="90"/>
      <c r="AJ61" s="143">
        <f t="shared" ref="AJ61" si="1218">AI61*$E61</f>
        <v>0</v>
      </c>
      <c r="AK61" s="90"/>
      <c r="AL61" s="143">
        <f t="shared" si="24"/>
        <v>0</v>
      </c>
      <c r="AM61" s="90"/>
      <c r="AN61" s="143">
        <f t="shared" si="25"/>
        <v>0</v>
      </c>
      <c r="AO61" s="90"/>
      <c r="AP61" s="143">
        <f t="shared" si="26"/>
        <v>0</v>
      </c>
      <c r="AQ61" s="90"/>
      <c r="AR61" s="143">
        <f t="shared" si="27"/>
        <v>0</v>
      </c>
      <c r="AS61" s="90"/>
      <c r="AT61" s="143">
        <f t="shared" si="28"/>
        <v>0</v>
      </c>
      <c r="AU61" s="90"/>
      <c r="AV61" s="143">
        <f t="shared" si="29"/>
        <v>0</v>
      </c>
      <c r="AW61" s="90"/>
      <c r="AX61" s="143">
        <f t="shared" si="30"/>
        <v>0</v>
      </c>
      <c r="AY61" s="62">
        <v>53</v>
      </c>
      <c r="AZ61" s="156">
        <f t="shared" si="750"/>
        <v>0</v>
      </c>
      <c r="BA61" s="143">
        <f t="shared" si="751"/>
        <v>0</v>
      </c>
      <c r="BB61" s="47">
        <v>53</v>
      </c>
      <c r="BC61" s="159">
        <f t="shared" si="752"/>
        <v>0</v>
      </c>
      <c r="BD61" s="146">
        <f t="shared" si="753"/>
        <v>0</v>
      </c>
      <c r="BE61" s="153"/>
      <c r="BF61" s="143">
        <f t="shared" si="31"/>
        <v>0</v>
      </c>
      <c r="BG61" s="153"/>
      <c r="BH61" s="143">
        <f t="shared" si="31"/>
        <v>0</v>
      </c>
      <c r="BI61" s="153"/>
      <c r="BJ61" s="143">
        <f t="shared" ref="BJ61" si="1219">BI61*$E61</f>
        <v>0</v>
      </c>
      <c r="BK61" s="153"/>
      <c r="BL61" s="143">
        <f t="shared" ref="BL61" si="1220">BK61*$E61</f>
        <v>0</v>
      </c>
      <c r="BM61" s="153"/>
      <c r="BN61" s="143">
        <f t="shared" ref="BN61" si="1221">BM61*$E61</f>
        <v>0</v>
      </c>
      <c r="BO61" s="153"/>
      <c r="BP61" s="143">
        <f t="shared" ref="BP61" si="1222">BO61*$E61</f>
        <v>0</v>
      </c>
      <c r="BQ61" s="153"/>
      <c r="BR61" s="143">
        <f t="shared" ref="BR61" si="1223">BQ61*$E61</f>
        <v>0</v>
      </c>
      <c r="BS61" s="153"/>
      <c r="BT61" s="143">
        <f t="shared" ref="BT61" si="1224">BS61*$E61</f>
        <v>0</v>
      </c>
      <c r="BU61" s="153"/>
      <c r="BV61" s="143">
        <f t="shared" ref="BV61" si="1225">BU61*$E61</f>
        <v>0</v>
      </c>
      <c r="BW61" s="153"/>
      <c r="BX61" s="143">
        <f t="shared" ref="BX61" si="1226">BW61*$E61</f>
        <v>0</v>
      </c>
      <c r="BY61" s="153"/>
      <c r="BZ61" s="143">
        <f t="shared" ref="BZ61" si="1227">BY61*$E61</f>
        <v>0</v>
      </c>
      <c r="CA61" s="46">
        <v>57</v>
      </c>
      <c r="CB61" s="149">
        <f t="shared" si="41"/>
        <v>0</v>
      </c>
      <c r="CC61" s="143">
        <f t="shared" si="763"/>
        <v>0</v>
      </c>
      <c r="CD61" s="46">
        <v>53</v>
      </c>
      <c r="CE61" s="63">
        <f t="shared" si="764"/>
        <v>0</v>
      </c>
      <c r="CF61" s="175">
        <f t="shared" si="765"/>
        <v>0</v>
      </c>
      <c r="CG61" s="164">
        <f t="shared" si="766"/>
        <v>0</v>
      </c>
      <c r="CH61" s="160">
        <f t="shared" si="767"/>
        <v>0</v>
      </c>
      <c r="CI61" s="160">
        <f t="shared" si="42"/>
        <v>0</v>
      </c>
      <c r="CJ61" s="45">
        <f t="shared" si="43"/>
        <v>0</v>
      </c>
    </row>
    <row r="62" spans="1:88" ht="18.75" customHeight="1" thickBot="1" x14ac:dyDescent="0.3">
      <c r="A62" s="199"/>
      <c r="B62" s="200"/>
      <c r="C62" s="64">
        <f>SUM(C9:C61)</f>
        <v>493</v>
      </c>
      <c r="D62" s="197"/>
      <c r="E62" s="198"/>
      <c r="F62" s="100">
        <f>SUM(F9:F61)</f>
        <v>2733.3999999999996</v>
      </c>
      <c r="G62" s="181">
        <f>SUM(H9:H61)</f>
        <v>0</v>
      </c>
      <c r="H62" s="181"/>
      <c r="I62" s="181">
        <f>SUM(J9:J61)</f>
        <v>0</v>
      </c>
      <c r="J62" s="181"/>
      <c r="K62" s="181">
        <f>SUM(L9:L61)</f>
        <v>0</v>
      </c>
      <c r="L62" s="181"/>
      <c r="M62" s="181">
        <f>SUM(N9:N61)</f>
        <v>0</v>
      </c>
      <c r="N62" s="181"/>
      <c r="O62" s="181">
        <f>SUM(P9:P61)</f>
        <v>0</v>
      </c>
      <c r="P62" s="181"/>
      <c r="Q62" s="181">
        <f>SUM(R9:R61)</f>
        <v>0</v>
      </c>
      <c r="R62" s="181"/>
      <c r="S62" s="181">
        <f>SUM(T9:T61)</f>
        <v>0</v>
      </c>
      <c r="T62" s="181"/>
      <c r="U62" s="181">
        <f>SUM(V9:V61)</f>
        <v>0</v>
      </c>
      <c r="V62" s="181"/>
      <c r="W62" s="181">
        <f>SUM(X9:X61)</f>
        <v>0</v>
      </c>
      <c r="X62" s="181"/>
      <c r="Y62" s="181">
        <f>SUM(Z9:Z61)</f>
        <v>0</v>
      </c>
      <c r="Z62" s="181"/>
      <c r="AA62" s="181">
        <f>SUM(AB9:AB61)</f>
        <v>0</v>
      </c>
      <c r="AB62" s="181"/>
      <c r="AC62" s="181">
        <f>SUM(AD9:AD61)</f>
        <v>0</v>
      </c>
      <c r="AD62" s="181"/>
      <c r="AE62" s="181">
        <f>SUM(AF9:AF61)</f>
        <v>0</v>
      </c>
      <c r="AF62" s="181"/>
      <c r="AG62" s="181">
        <f t="shared" ref="AG62" si="1228">SUM(AH9:AH61)</f>
        <v>0</v>
      </c>
      <c r="AH62" s="181"/>
      <c r="AI62" s="181">
        <f t="shared" ref="AI62" si="1229">SUM(AJ9:AJ61)</f>
        <v>0</v>
      </c>
      <c r="AJ62" s="181"/>
      <c r="AK62" s="181">
        <f t="shared" ref="AK62" si="1230">SUM(AL9:AL61)</f>
        <v>0</v>
      </c>
      <c r="AL62" s="181"/>
      <c r="AM62" s="181">
        <f t="shared" ref="AM62" si="1231">SUM(AN9:AN61)</f>
        <v>0</v>
      </c>
      <c r="AN62" s="181"/>
      <c r="AO62" s="181">
        <f t="shared" ref="AO62" si="1232">SUM(AP9:AP61)</f>
        <v>0</v>
      </c>
      <c r="AP62" s="181"/>
      <c r="AQ62" s="181">
        <f t="shared" ref="AQ62" si="1233">SUM(AR9:AR61)</f>
        <v>0</v>
      </c>
      <c r="AR62" s="181"/>
      <c r="AS62" s="181">
        <f t="shared" ref="AS62" si="1234">SUM(AT9:AT61)</f>
        <v>0</v>
      </c>
      <c r="AT62" s="181"/>
      <c r="AU62" s="181">
        <f t="shared" ref="AU62" si="1235">SUM(AV9:AV61)</f>
        <v>0</v>
      </c>
      <c r="AV62" s="181"/>
      <c r="AW62" s="181">
        <f t="shared" ref="AW62" si="1236">SUM(AX9:AX61)</f>
        <v>0</v>
      </c>
      <c r="AX62" s="181"/>
      <c r="AY62" s="201">
        <f>SUM(AZ9:AZ61)</f>
        <v>0</v>
      </c>
      <c r="AZ62" s="202"/>
      <c r="BA62" s="94">
        <f>SUM(BA9:BA61)</f>
        <v>0</v>
      </c>
      <c r="BB62" s="201">
        <f>SUM(BC9:BC61)</f>
        <v>493</v>
      </c>
      <c r="BC62" s="202"/>
      <c r="BD62" s="99">
        <f>SUM(BD9:BD61)</f>
        <v>2733.3999999999996</v>
      </c>
      <c r="BE62" s="187">
        <f>SUM(BF9:BF61)</f>
        <v>0</v>
      </c>
      <c r="BF62" s="188"/>
      <c r="BG62" s="187">
        <f>SUM(BH9:BH61)</f>
        <v>0</v>
      </c>
      <c r="BH62" s="188"/>
      <c r="BI62" s="187">
        <f>SUM(BJ9:BJ61)</f>
        <v>0</v>
      </c>
      <c r="BJ62" s="188"/>
      <c r="BK62" s="187">
        <f>SUM(BL9:BL61)</f>
        <v>0</v>
      </c>
      <c r="BL62" s="188"/>
      <c r="BM62" s="187">
        <f>SUM(BN9:BN61)</f>
        <v>0</v>
      </c>
      <c r="BN62" s="188"/>
      <c r="BO62" s="187">
        <f>SUM(BP9:BP61)</f>
        <v>0</v>
      </c>
      <c r="BP62" s="188"/>
      <c r="BQ62" s="187">
        <f>SUM(BR9:BR61)</f>
        <v>0</v>
      </c>
      <c r="BR62" s="188"/>
      <c r="BS62" s="187">
        <f>SUM(BT9:BT61)</f>
        <v>0</v>
      </c>
      <c r="BT62" s="188"/>
      <c r="BU62" s="187">
        <f>SUM(BV9:BV61)</f>
        <v>0</v>
      </c>
      <c r="BV62" s="188"/>
      <c r="BW62" s="187">
        <f>SUM(BX9:BX61)</f>
        <v>0</v>
      </c>
      <c r="BX62" s="188"/>
      <c r="BY62" s="187">
        <f>SUM(BZ9:BZ61)</f>
        <v>0</v>
      </c>
      <c r="BZ62" s="188"/>
      <c r="CA62" s="201">
        <f>SUM(CB9:CB61)</f>
        <v>0</v>
      </c>
      <c r="CB62" s="202"/>
      <c r="CC62" s="96">
        <f>SUM(CC9:CC61)</f>
        <v>0</v>
      </c>
      <c r="CD62" s="189"/>
      <c r="CE62" s="190"/>
      <c r="CF62" s="95">
        <f>SUM(CF9:CF61)</f>
        <v>493</v>
      </c>
      <c r="CG62" s="183"/>
      <c r="CH62" s="184"/>
      <c r="CI62" s="97">
        <f>SUM(CI9:CI61)</f>
        <v>2733.3999999999996</v>
      </c>
      <c r="CJ62" s="65"/>
    </row>
    <row r="63" spans="1:88" ht="16.5" customHeight="1" thickBot="1" x14ac:dyDescent="0.3">
      <c r="A63" s="66"/>
      <c r="B63" s="67"/>
      <c r="C63" s="68"/>
      <c r="D63" s="69"/>
      <c r="E63" s="70"/>
      <c r="F63" s="101">
        <f>F62*H3</f>
        <v>2347.9905999999996</v>
      </c>
      <c r="G63" s="179">
        <f>G62*$H$3</f>
        <v>0</v>
      </c>
      <c r="H63" s="180"/>
      <c r="I63" s="179">
        <f t="shared" ref="I63" si="1237">I62*$H$3</f>
        <v>0</v>
      </c>
      <c r="J63" s="180"/>
      <c r="K63" s="179">
        <f t="shared" ref="K63" si="1238">K62*$H$3</f>
        <v>0</v>
      </c>
      <c r="L63" s="180"/>
      <c r="M63" s="179">
        <f t="shared" ref="M63" si="1239">M62*$H$3</f>
        <v>0</v>
      </c>
      <c r="N63" s="180"/>
      <c r="O63" s="179">
        <f t="shared" ref="O63" si="1240">O62*$H$3</f>
        <v>0</v>
      </c>
      <c r="P63" s="180"/>
      <c r="Q63" s="179">
        <f t="shared" ref="Q63" si="1241">Q62*$H$3</f>
        <v>0</v>
      </c>
      <c r="R63" s="180"/>
      <c r="S63" s="179">
        <f t="shared" ref="S63" si="1242">S62*$H$3</f>
        <v>0</v>
      </c>
      <c r="T63" s="180"/>
      <c r="U63" s="179">
        <f t="shared" ref="U63" si="1243">U62*$H$3</f>
        <v>0</v>
      </c>
      <c r="V63" s="180"/>
      <c r="W63" s="179">
        <f t="shared" ref="W63" si="1244">W62*$H$3</f>
        <v>0</v>
      </c>
      <c r="X63" s="180"/>
      <c r="Y63" s="179">
        <f t="shared" ref="Y63" si="1245">Y62*$H$3</f>
        <v>0</v>
      </c>
      <c r="Z63" s="180"/>
      <c r="AA63" s="179">
        <f t="shared" ref="AA63" si="1246">AA62*$H$3</f>
        <v>0</v>
      </c>
      <c r="AB63" s="180"/>
      <c r="AC63" s="179">
        <f t="shared" ref="AC63" si="1247">AC62*$H$3</f>
        <v>0</v>
      </c>
      <c r="AD63" s="180"/>
      <c r="AE63" s="179">
        <f t="shared" ref="AE63" si="1248">AE62*$H$3</f>
        <v>0</v>
      </c>
      <c r="AF63" s="180"/>
      <c r="AG63" s="179">
        <f t="shared" ref="AG63" si="1249">AG62*$H$3</f>
        <v>0</v>
      </c>
      <c r="AH63" s="180"/>
      <c r="AI63" s="179">
        <f t="shared" ref="AI63" si="1250">AI62*$H$3</f>
        <v>0</v>
      </c>
      <c r="AJ63" s="180"/>
      <c r="AK63" s="179">
        <f t="shared" ref="AK63" si="1251">AK62*$H$3</f>
        <v>0</v>
      </c>
      <c r="AL63" s="180"/>
      <c r="AM63" s="179">
        <f t="shared" ref="AM63" si="1252">AM62*$H$3</f>
        <v>0</v>
      </c>
      <c r="AN63" s="180"/>
      <c r="AO63" s="179">
        <f t="shared" ref="AO63" si="1253">AO62*$H$3</f>
        <v>0</v>
      </c>
      <c r="AP63" s="180"/>
      <c r="AQ63" s="179">
        <f t="shared" ref="AQ63" si="1254">AQ62*$H$3</f>
        <v>0</v>
      </c>
      <c r="AR63" s="180"/>
      <c r="AS63" s="179">
        <f t="shared" ref="AS63" si="1255">AS62*$H$3</f>
        <v>0</v>
      </c>
      <c r="AT63" s="180"/>
      <c r="AU63" s="179">
        <f t="shared" ref="AU63" si="1256">AU62*$H$3</f>
        <v>0</v>
      </c>
      <c r="AV63" s="180"/>
      <c r="AW63" s="179">
        <f t="shared" ref="AW63" si="1257">AW62*$H$3</f>
        <v>0</v>
      </c>
      <c r="AX63" s="180"/>
      <c r="AY63" s="71"/>
      <c r="AZ63" s="72"/>
      <c r="BA63" s="93">
        <f>BA62*$H$3</f>
        <v>0</v>
      </c>
      <c r="BB63" s="203"/>
      <c r="BC63" s="204"/>
      <c r="BD63" s="98">
        <f>BD62*$H$3</f>
        <v>2347.9905999999996</v>
      </c>
      <c r="BE63" s="180">
        <f>BE62*$H$3</f>
        <v>0</v>
      </c>
      <c r="BF63" s="180"/>
      <c r="BG63" s="180">
        <f t="shared" ref="BG63" si="1258">BG62*$H$3</f>
        <v>0</v>
      </c>
      <c r="BH63" s="180"/>
      <c r="BI63" s="180">
        <f t="shared" ref="BI63" si="1259">BI62*$H$3</f>
        <v>0</v>
      </c>
      <c r="BJ63" s="180"/>
      <c r="BK63" s="180">
        <f t="shared" ref="BK63" si="1260">BK62*$H$3</f>
        <v>0</v>
      </c>
      <c r="BL63" s="180"/>
      <c r="BM63" s="180">
        <f t="shared" ref="BM63" si="1261">BM62*$H$3</f>
        <v>0</v>
      </c>
      <c r="BN63" s="180"/>
      <c r="BO63" s="180">
        <f t="shared" ref="BO63" si="1262">BO62*$H$3</f>
        <v>0</v>
      </c>
      <c r="BP63" s="180"/>
      <c r="BQ63" s="180">
        <f t="shared" ref="BQ63" si="1263">BQ62*$H$3</f>
        <v>0</v>
      </c>
      <c r="BR63" s="180"/>
      <c r="BS63" s="180">
        <f t="shared" ref="BS63" si="1264">BS62*$H$3</f>
        <v>0</v>
      </c>
      <c r="BT63" s="180"/>
      <c r="BU63" s="180">
        <f t="shared" ref="BU63" si="1265">BU62*$H$3</f>
        <v>0</v>
      </c>
      <c r="BV63" s="180"/>
      <c r="BW63" s="180">
        <f t="shared" ref="BW63" si="1266">BW62*$H$3</f>
        <v>0</v>
      </c>
      <c r="BX63" s="180"/>
      <c r="BY63" s="180">
        <f t="shared" ref="BY63" si="1267">BY62*$H$3</f>
        <v>0</v>
      </c>
      <c r="BZ63" s="180"/>
      <c r="CA63" s="185"/>
      <c r="CB63" s="186"/>
      <c r="CC63" s="73">
        <f>CC62*$H$3</f>
        <v>0</v>
      </c>
      <c r="CD63" s="74"/>
      <c r="CE63" s="71"/>
      <c r="CF63" s="72"/>
      <c r="CG63" s="75"/>
      <c r="CH63" s="76"/>
      <c r="CI63" s="73">
        <f>CI62*$H$3</f>
        <v>2347.9905999999996</v>
      </c>
      <c r="CJ63" s="65"/>
    </row>
    <row r="64" spans="1:88" ht="16.5" hidden="1" customHeight="1" x14ac:dyDescent="0.25">
      <c r="A64" s="66"/>
      <c r="C64" s="72"/>
      <c r="D64" s="75"/>
      <c r="E64" s="77"/>
      <c r="F64" s="78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  <c r="AG64" s="79"/>
      <c r="AH64" s="79"/>
      <c r="AI64" s="79"/>
      <c r="AJ64" s="79"/>
      <c r="AK64" s="79"/>
      <c r="AL64" s="79"/>
      <c r="AM64" s="79"/>
      <c r="AN64" s="79"/>
      <c r="AO64" s="79"/>
      <c r="AP64" s="79"/>
      <c r="AQ64" s="79"/>
      <c r="AR64" s="79"/>
      <c r="AS64" s="79"/>
      <c r="AT64" s="79"/>
      <c r="AU64" s="79"/>
      <c r="AV64" s="79"/>
      <c r="AW64" s="79"/>
      <c r="AX64" s="79"/>
      <c r="AY64" s="71"/>
      <c r="AZ64" s="72"/>
      <c r="BA64" s="80"/>
      <c r="BB64" s="81"/>
      <c r="BC64" s="78"/>
      <c r="BD64" s="82"/>
      <c r="BE64" s="83"/>
      <c r="BF64" s="83"/>
      <c r="BG64" s="83"/>
      <c r="BH64" s="83"/>
      <c r="BI64" s="83"/>
      <c r="BJ64" s="83"/>
      <c r="BK64" s="83"/>
      <c r="BL64" s="83"/>
      <c r="BM64" s="83"/>
      <c r="BN64" s="83"/>
      <c r="BO64" s="83"/>
      <c r="BP64" s="83"/>
      <c r="BQ64" s="83"/>
      <c r="BR64" s="83"/>
      <c r="BS64" s="83"/>
      <c r="BT64" s="83"/>
      <c r="BU64" s="83"/>
      <c r="BV64" s="83"/>
      <c r="BW64" s="83"/>
      <c r="BX64" s="83"/>
      <c r="BY64" s="83"/>
      <c r="BZ64" s="83"/>
      <c r="CA64" s="84"/>
      <c r="CB64" s="84"/>
      <c r="CC64" s="85"/>
      <c r="CD64" s="86"/>
      <c r="CE64" s="71"/>
      <c r="CF64" s="72"/>
      <c r="CG64" s="75"/>
      <c r="CH64" s="76"/>
      <c r="CI64" s="78"/>
      <c r="CJ64" s="87"/>
    </row>
  </sheetData>
  <sheetProtection sheet="1" scenarios="1" selectLockedCells="1"/>
  <mergeCells count="114">
    <mergeCell ref="B1:F1"/>
    <mergeCell ref="CE1:CI1"/>
    <mergeCell ref="B5:F5"/>
    <mergeCell ref="CE5:CI5"/>
    <mergeCell ref="B3:F3"/>
    <mergeCell ref="CE3:CI3"/>
    <mergeCell ref="CE7:CI8"/>
    <mergeCell ref="CD7:CD8"/>
    <mergeCell ref="CB7:CC8"/>
    <mergeCell ref="BB7:BB8"/>
    <mergeCell ref="BC7:BD8"/>
    <mergeCell ref="CA7:CA8"/>
    <mergeCell ref="AZ7:BA8"/>
    <mergeCell ref="AY7:AY8"/>
    <mergeCell ref="AQ5:AR5"/>
    <mergeCell ref="AS5:AT5"/>
    <mergeCell ref="AU5:AV5"/>
    <mergeCell ref="AW5:AX5"/>
    <mergeCell ref="H3:I3"/>
    <mergeCell ref="AE5:AF5"/>
    <mergeCell ref="AG5:AH5"/>
    <mergeCell ref="AI5:AJ5"/>
    <mergeCell ref="AK5:AL5"/>
    <mergeCell ref="AM5:AN5"/>
    <mergeCell ref="CA62:CB62"/>
    <mergeCell ref="AW62:AX62"/>
    <mergeCell ref="BO63:BP63"/>
    <mergeCell ref="BK63:BL63"/>
    <mergeCell ref="BY62:BZ62"/>
    <mergeCell ref="BM63:BN63"/>
    <mergeCell ref="BK62:BL62"/>
    <mergeCell ref="BM62:BN62"/>
    <mergeCell ref="BB62:BC62"/>
    <mergeCell ref="AY62:AZ62"/>
    <mergeCell ref="BE63:BF63"/>
    <mergeCell ref="BB63:BC63"/>
    <mergeCell ref="BI63:BJ63"/>
    <mergeCell ref="BG63:BH63"/>
    <mergeCell ref="BW62:BX62"/>
    <mergeCell ref="BW63:BX63"/>
    <mergeCell ref="BU62:BV62"/>
    <mergeCell ref="BU63:BV63"/>
    <mergeCell ref="BO62:BP62"/>
    <mergeCell ref="A7:A8"/>
    <mergeCell ref="B7:F8"/>
    <mergeCell ref="Q62:R62"/>
    <mergeCell ref="AA62:AB62"/>
    <mergeCell ref="AC62:AD62"/>
    <mergeCell ref="D62:E62"/>
    <mergeCell ref="K62:L62"/>
    <mergeCell ref="A62:B62"/>
    <mergeCell ref="G62:H62"/>
    <mergeCell ref="M62:N62"/>
    <mergeCell ref="O62:P62"/>
    <mergeCell ref="S62:T62"/>
    <mergeCell ref="AE62:AF62"/>
    <mergeCell ref="S63:T63"/>
    <mergeCell ref="U63:V63"/>
    <mergeCell ref="W63:X63"/>
    <mergeCell ref="Y63:Z63"/>
    <mergeCell ref="AO63:AP63"/>
    <mergeCell ref="AU62:AV62"/>
    <mergeCell ref="AU63:AV63"/>
    <mergeCell ref="U62:V62"/>
    <mergeCell ref="AK62:AL62"/>
    <mergeCell ref="Y62:Z62"/>
    <mergeCell ref="CG62:CH62"/>
    <mergeCell ref="CA63:CB63"/>
    <mergeCell ref="AE63:AF63"/>
    <mergeCell ref="AG63:AH63"/>
    <mergeCell ref="AI63:AJ63"/>
    <mergeCell ref="AW63:AX63"/>
    <mergeCell ref="BY63:BZ63"/>
    <mergeCell ref="W62:X62"/>
    <mergeCell ref="AQ62:AR62"/>
    <mergeCell ref="AQ63:AR63"/>
    <mergeCell ref="BQ62:BR62"/>
    <mergeCell ref="BQ63:BR63"/>
    <mergeCell ref="BS62:BT62"/>
    <mergeCell ref="BS63:BT63"/>
    <mergeCell ref="AA63:AB63"/>
    <mergeCell ref="AC63:AD63"/>
    <mergeCell ref="AG62:AH62"/>
    <mergeCell ref="AI62:AJ62"/>
    <mergeCell ref="AS63:AT63"/>
    <mergeCell ref="CD62:CE62"/>
    <mergeCell ref="AS62:AT62"/>
    <mergeCell ref="BE62:BF62"/>
    <mergeCell ref="BG62:BH62"/>
    <mergeCell ref="BI62:BJ62"/>
    <mergeCell ref="G63:H63"/>
    <mergeCell ref="I63:J63"/>
    <mergeCell ref="I62:J62"/>
    <mergeCell ref="K63:L63"/>
    <mergeCell ref="AO5:AP5"/>
    <mergeCell ref="G5:H5"/>
    <mergeCell ref="I5:J5"/>
    <mergeCell ref="K5:L5"/>
    <mergeCell ref="M5:N5"/>
    <mergeCell ref="O5:P5"/>
    <mergeCell ref="Q5:R5"/>
    <mergeCell ref="S5:T5"/>
    <mergeCell ref="U5:V5"/>
    <mergeCell ref="W5:X5"/>
    <mergeCell ref="AM62:AN62"/>
    <mergeCell ref="AM63:AN63"/>
    <mergeCell ref="AO62:AP62"/>
    <mergeCell ref="M63:N63"/>
    <mergeCell ref="O63:P63"/>
    <mergeCell ref="Q63:R63"/>
    <mergeCell ref="AK63:AL63"/>
    <mergeCell ref="Y5:Z5"/>
    <mergeCell ref="AA5:AB5"/>
    <mergeCell ref="AC5:AD5"/>
  </mergeCells>
  <conditionalFormatting sqref="A7:CI8 A45:CI61 A9:B44 D9:CI44">
    <cfRule type="cellIs" dxfId="5" priority="23" operator="equal">
      <formula>0</formula>
    </cfRule>
  </conditionalFormatting>
  <conditionalFormatting sqref="A45:CI61 A9:B44 D9:CI44">
    <cfRule type="expression" dxfId="4" priority="2">
      <formula>OR(CELL("row")=ROW(), CELL("col")= COLUMN())</formula>
    </cfRule>
  </conditionalFormatting>
  <conditionalFormatting sqref="C9:C44">
    <cfRule type="expression" dxfId="3" priority="1">
      <formula>OR(CELL("row")=ROW(), CELL("col")= COLUMN())</formula>
    </cfRule>
  </conditionalFormatting>
  <pageMargins left="0.17" right="1.08" top="0.71" bottom="0" header="0.51181102362204722" footer="0"/>
  <pageSetup scale="94" fitToHeight="0" orientation="landscape" r:id="rId1"/>
  <headerFooter alignWithMargins="0"/>
  <colBreaks count="2" manualBreakCount="2">
    <brk id="16" max="1048575" man="1"/>
    <brk id="3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ear_Crew_Bond">
                <anchor moveWithCells="1">
                  <from>
                    <xdr:col>7</xdr:col>
                    <xdr:colOff>28575</xdr:colOff>
                    <xdr:row>0</xdr:row>
                    <xdr:rowOff>38100</xdr:rowOff>
                  </from>
                  <to>
                    <xdr:col>9</xdr:col>
                    <xdr:colOff>314325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Hide_Unused_Rows">
                <anchor moveWithCells="1">
                  <from>
                    <xdr:col>9</xdr:col>
                    <xdr:colOff>438150</xdr:colOff>
                    <xdr:row>0</xdr:row>
                    <xdr:rowOff>47625</xdr:rowOff>
                  </from>
                  <to>
                    <xdr:col>12</xdr:col>
                    <xdr:colOff>171450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Unhide_Rows">
                <anchor>
                  <from>
                    <xdr:col>9</xdr:col>
                    <xdr:colOff>438150</xdr:colOff>
                    <xdr:row>0</xdr:row>
                    <xdr:rowOff>371475</xdr:rowOff>
                  </from>
                  <to>
                    <xdr:col>12</xdr:col>
                    <xdr:colOff>171450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Hide_Unused_Columns_Crew">
                <anchor moveWithCells="1">
                  <from>
                    <xdr:col>13</xdr:col>
                    <xdr:colOff>238125</xdr:colOff>
                    <xdr:row>0</xdr:row>
                    <xdr:rowOff>28575</xdr:rowOff>
                  </from>
                  <to>
                    <xdr:col>17</xdr:col>
                    <xdr:colOff>133350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Unhide_Columns_Crew">
                <anchor moveWithCells="1">
                  <from>
                    <xdr:col>13</xdr:col>
                    <xdr:colOff>219075</xdr:colOff>
                    <xdr:row>0</xdr:row>
                    <xdr:rowOff>381000</xdr:rowOff>
                  </from>
                  <to>
                    <xdr:col>17</xdr:col>
                    <xdr:colOff>133350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Hide_Unused_Columns_Representative">
                <anchor moveWithCells="1">
                  <from>
                    <xdr:col>55</xdr:col>
                    <xdr:colOff>619125</xdr:colOff>
                    <xdr:row>1</xdr:row>
                    <xdr:rowOff>19050</xdr:rowOff>
                  </from>
                  <to>
                    <xdr:col>59</xdr:col>
                    <xdr:colOff>114300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Unhide_Columns_Representative">
                <anchor moveWithCells="1">
                  <from>
                    <xdr:col>55</xdr:col>
                    <xdr:colOff>609600</xdr:colOff>
                    <xdr:row>2</xdr:row>
                    <xdr:rowOff>104775</xdr:rowOff>
                  </from>
                  <to>
                    <xdr:col>59</xdr:col>
                    <xdr:colOff>114300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Clear_Representative_Bond">
                <anchor moveWithCells="1">
                  <from>
                    <xdr:col>55</xdr:col>
                    <xdr:colOff>638175</xdr:colOff>
                    <xdr:row>0</xdr:row>
                    <xdr:rowOff>95250</xdr:rowOff>
                  </from>
                  <to>
                    <xdr:col>57</xdr:col>
                    <xdr:colOff>657225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Create_New_Month">
                <anchor moveWithCells="1">
                  <from>
                    <xdr:col>0</xdr:col>
                    <xdr:colOff>228600</xdr:colOff>
                    <xdr:row>1</xdr:row>
                    <xdr:rowOff>85725</xdr:rowOff>
                  </from>
                  <to>
                    <xdr:col>1</xdr:col>
                    <xdr:colOff>1295400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J70"/>
  <sheetViews>
    <sheetView zoomScale="85" zoomScaleNormal="85" zoomScaleSheetLayoutView="115" workbookViewId="0">
      <selection activeCell="F66" sqref="F66"/>
    </sheetView>
  </sheetViews>
  <sheetFormatPr defaultColWidth="0" defaultRowHeight="12.75" zeroHeight="1" x14ac:dyDescent="0.2"/>
  <cols>
    <col min="1" max="2" width="2.85546875" customWidth="1"/>
    <col min="3" max="3" width="4.28515625" customWidth="1"/>
    <col min="4" max="4" width="38.5703125" customWidth="1"/>
    <col min="5" max="5" width="10.42578125" customWidth="1"/>
    <col min="6" max="6" width="5.7109375" customWidth="1"/>
    <col min="7" max="7" width="8.5703125" customWidth="1"/>
    <col min="8" max="9" width="2.85546875" customWidth="1"/>
    <col min="10" max="10" width="2.85546875" hidden="1" customWidth="1"/>
    <col min="11" max="16384" width="9.140625" hidden="1"/>
  </cols>
  <sheetData>
    <row r="1" spans="2:8" ht="9" customHeight="1" thickBot="1" x14ac:dyDescent="0.25"/>
    <row r="2" spans="2:8" ht="5.25" customHeight="1" thickTop="1" x14ac:dyDescent="0.2">
      <c r="B2" s="20"/>
      <c r="C2" s="21"/>
      <c r="D2" s="21"/>
      <c r="E2" s="21"/>
      <c r="F2" s="21"/>
      <c r="G2" s="21"/>
      <c r="H2" s="22"/>
    </row>
    <row r="3" spans="2:8" ht="23.25" customHeight="1" x14ac:dyDescent="0.4">
      <c r="B3" s="23"/>
      <c r="C3" s="11"/>
      <c r="D3" s="205" t="s">
        <v>13</v>
      </c>
      <c r="E3" s="205"/>
      <c r="F3" s="205"/>
      <c r="G3" s="205"/>
      <c r="H3" s="24"/>
    </row>
    <row r="4" spans="2:8" ht="2.25" customHeight="1" x14ac:dyDescent="0.4">
      <c r="B4" s="23"/>
      <c r="C4" s="8"/>
      <c r="D4" s="8"/>
      <c r="E4" s="8"/>
      <c r="F4" s="8"/>
      <c r="G4" s="8"/>
      <c r="H4" s="24"/>
    </row>
    <row r="5" spans="2:8" ht="20.25" customHeight="1" x14ac:dyDescent="0.3">
      <c r="B5" s="23"/>
      <c r="C5" s="10"/>
      <c r="D5" s="209">
        <f>WORKING!CE3</f>
        <v>46174</v>
      </c>
      <c r="E5" s="209"/>
      <c r="F5" s="209"/>
      <c r="G5" s="209"/>
      <c r="H5" s="24"/>
    </row>
    <row r="6" spans="2:8" ht="3" customHeight="1" thickBot="1" x14ac:dyDescent="0.4">
      <c r="B6" s="23"/>
      <c r="C6" s="9"/>
      <c r="D6" s="9"/>
      <c r="E6" s="9"/>
      <c r="F6" s="9"/>
      <c r="G6" s="9"/>
      <c r="H6" s="24"/>
    </row>
    <row r="7" spans="2:8" ht="15" customHeight="1" thickTop="1" x14ac:dyDescent="0.2">
      <c r="B7" s="23"/>
      <c r="C7" s="231" t="s">
        <v>6</v>
      </c>
      <c r="D7" s="232" t="s">
        <v>9</v>
      </c>
      <c r="E7" s="233"/>
      <c r="F7" s="233"/>
      <c r="G7" s="234"/>
      <c r="H7" s="24"/>
    </row>
    <row r="8" spans="2:8" ht="13.5" customHeight="1" thickBot="1" x14ac:dyDescent="0.25">
      <c r="B8" s="23"/>
      <c r="C8" s="230"/>
      <c r="D8" s="235"/>
      <c r="E8" s="236"/>
      <c r="F8" s="236"/>
      <c r="G8" s="237"/>
      <c r="H8" s="24"/>
    </row>
    <row r="9" spans="2:8" s="2" customFormat="1" ht="15" customHeight="1" x14ac:dyDescent="0.25">
      <c r="B9" s="25"/>
      <c r="C9" s="5">
        <f>WORKING!CD9</f>
        <v>1</v>
      </c>
      <c r="D9" s="33" t="str">
        <f>WORKING!CE9</f>
        <v>Winston Blue</v>
      </c>
      <c r="E9" s="7">
        <f>IF(D9&lt;&gt;0,WORKING!CF9,"")</f>
        <v>4</v>
      </c>
      <c r="F9" s="1" t="str">
        <f>IF(E9&gt;0,WORKING!CG9,"")</f>
        <v>crt</v>
      </c>
      <c r="G9" s="35">
        <f>IF(E9&gt;0,WORKING!CH9,"")</f>
        <v>23</v>
      </c>
      <c r="H9" s="26"/>
    </row>
    <row r="10" spans="2:8" ht="15" customHeight="1" x14ac:dyDescent="0.25">
      <c r="B10" s="23"/>
      <c r="C10" s="6">
        <f>WORKING!CD10</f>
        <v>2</v>
      </c>
      <c r="D10" s="33" t="str">
        <f>WORKING!CE10</f>
        <v>Prestigio chocolate , 33 g</v>
      </c>
      <c r="E10" s="7">
        <f>IF(D10&lt;&gt;0,WORKING!CF10,"")</f>
        <v>39</v>
      </c>
      <c r="F10" s="1" t="str">
        <f>IF(E10&gt;0,WORKING!CG10,"")</f>
        <v>pcs</v>
      </c>
      <c r="G10" s="35">
        <f>IF(E10&gt;0,WORKING!CH10,"")</f>
        <v>1</v>
      </c>
      <c r="H10" s="24"/>
    </row>
    <row r="11" spans="2:8" ht="15" customHeight="1" x14ac:dyDescent="0.25">
      <c r="B11" s="23"/>
      <c r="C11" s="6">
        <f>WORKING!CD11</f>
        <v>3</v>
      </c>
      <c r="D11" s="33" t="str">
        <f>WORKING!CE11</f>
        <v>Mixed nuts Brazil , 50 g</v>
      </c>
      <c r="E11" s="7">
        <f>IF(D11&lt;&gt;0,WORKING!CF11,"")</f>
        <v>29</v>
      </c>
      <c r="F11" s="1" t="str">
        <f>IF(E11&gt;0,WORKING!CG11,"")</f>
        <v>pcs</v>
      </c>
      <c r="G11" s="35">
        <f>IF(E11&gt;0,WORKING!CH11,"")</f>
        <v>2</v>
      </c>
      <c r="H11" s="24"/>
    </row>
    <row r="12" spans="2:8" ht="15" customHeight="1" x14ac:dyDescent="0.25">
      <c r="B12" s="23"/>
      <c r="C12" s="6">
        <f>WORKING!CD12</f>
        <v>4</v>
      </c>
      <c r="D12" s="33" t="str">
        <f>WORKING!CE12</f>
        <v>Pantene Keratine shampoo, 500ml</v>
      </c>
      <c r="E12" s="7">
        <f>IF(D12&lt;&gt;0,WORKING!CF12,"")</f>
        <v>1</v>
      </c>
      <c r="F12" s="1" t="str">
        <f>IF(E12&gt;0,WORKING!CG12,"")</f>
        <v>tube</v>
      </c>
      <c r="G12" s="35">
        <f>IF(E12&gt;0,WORKING!CH12,"")</f>
        <v>8</v>
      </c>
      <c r="H12" s="24"/>
    </row>
    <row r="13" spans="2:8" s="2" customFormat="1" ht="15" customHeight="1" x14ac:dyDescent="0.25">
      <c r="B13" s="25"/>
      <c r="C13" s="6">
        <f>WORKING!CD13</f>
        <v>5</v>
      </c>
      <c r="D13" s="33" t="str">
        <f>WORKING!CE13</f>
        <v>Nivea antiperspirant, 50ml  05.26</v>
      </c>
      <c r="E13" s="7">
        <f>IF(D13&lt;&gt;0,WORKING!CF13,"")</f>
        <v>7</v>
      </c>
      <c r="F13" s="1" t="str">
        <f>IF(E13&gt;0,WORKING!CG13,"")</f>
        <v>roller</v>
      </c>
      <c r="G13" s="35">
        <f>IF(E13&gt;0,WORKING!CH13,"")</f>
        <v>3.8</v>
      </c>
      <c r="H13" s="26"/>
    </row>
    <row r="14" spans="2:8" ht="15" customHeight="1" x14ac:dyDescent="0.25">
      <c r="B14" s="23"/>
      <c r="C14" s="6">
        <f>WORKING!CD14</f>
        <v>6</v>
      </c>
      <c r="D14" s="33" t="str">
        <f>WORKING!CE14</f>
        <v xml:space="preserve">Tooth brush </v>
      </c>
      <c r="E14" s="7">
        <f>IF(D14&lt;&gt;0,WORKING!CF14,"")</f>
        <v>8</v>
      </c>
      <c r="F14" s="1" t="str">
        <f>IF(E14&gt;0,WORKING!CG14,"")</f>
        <v>pcs</v>
      </c>
      <c r="G14" s="35">
        <f>IF(E14&gt;0,WORKING!CH14,"")</f>
        <v>2</v>
      </c>
      <c r="H14" s="24"/>
    </row>
    <row r="15" spans="2:8" ht="15" customHeight="1" x14ac:dyDescent="0.25">
      <c r="B15" s="23"/>
      <c r="C15" s="6">
        <f>WORKING!CD15</f>
        <v>7</v>
      </c>
      <c r="D15" s="33" t="str">
        <f>WORKING!CE15</f>
        <v>Disposable lighter</v>
      </c>
      <c r="E15" s="7">
        <f>IF(D15&lt;&gt;0,WORKING!CF15,"")</f>
        <v>30</v>
      </c>
      <c r="F15" s="1" t="str">
        <f>IF(E15&gt;0,WORKING!CG15,"")</f>
        <v>pcs</v>
      </c>
      <c r="G15" s="35">
        <f>IF(E15&gt;0,WORKING!CH15,"")</f>
        <v>0.5</v>
      </c>
      <c r="H15" s="24"/>
    </row>
    <row r="16" spans="2:8" ht="15" customHeight="1" x14ac:dyDescent="0.25">
      <c r="B16" s="23"/>
      <c r="C16" s="6">
        <f>WORKING!CD16</f>
        <v>8</v>
      </c>
      <c r="D16" s="33" t="str">
        <f>WORKING!CE16</f>
        <v>Antwerp</v>
      </c>
      <c r="E16" s="7">
        <f>IF(D16&lt;&gt;0,WORKING!CF16,"")</f>
        <v>1</v>
      </c>
      <c r="F16" s="1">
        <f>IF(E16&gt;0,WORKING!CG16,"")</f>
        <v>0</v>
      </c>
      <c r="G16" s="35">
        <f>IF(E16&gt;0,WORKING!CH16,"")</f>
        <v>0</v>
      </c>
      <c r="H16" s="24"/>
    </row>
    <row r="17" spans="2:8" ht="15" customHeight="1" x14ac:dyDescent="0.25">
      <c r="B17" s="23"/>
      <c r="C17" s="6">
        <f>WORKING!CD17</f>
        <v>9</v>
      </c>
      <c r="D17" s="33" t="str">
        <f>WORKING!CE17</f>
        <v>FANTA ORANGE 24X33 CL TIN</v>
      </c>
      <c r="E17" s="7">
        <f>IF(D17&lt;&gt;0,WORKING!CF17,"")</f>
        <v>4</v>
      </c>
      <c r="F17" s="1" t="str">
        <f>IF(E17&gt;0,WORKING!CG17,"")</f>
        <v>Case</v>
      </c>
      <c r="G17" s="35">
        <f>IF(E17&gt;0,WORKING!CH17,"")</f>
        <v>24</v>
      </c>
      <c r="H17" s="24"/>
    </row>
    <row r="18" spans="2:8" ht="15" customHeight="1" x14ac:dyDescent="0.25">
      <c r="B18" s="23"/>
      <c r="C18" s="6">
        <f>WORKING!CD18</f>
        <v>10</v>
      </c>
      <c r="D18" s="33" t="str">
        <f>WORKING!CE18</f>
        <v>PEPSI COLA 24X33 CL TIN</v>
      </c>
      <c r="E18" s="7">
        <f>IF(D18&lt;&gt;0,WORKING!CF18,"")</f>
        <v>1</v>
      </c>
      <c r="F18" s="1" t="str">
        <f>IF(E18&gt;0,WORKING!CG18,"")</f>
        <v>Case</v>
      </c>
      <c r="G18" s="35">
        <f>IF(E18&gt;0,WORKING!CH18,"")</f>
        <v>17.600000000000001</v>
      </c>
      <c r="H18" s="24"/>
    </row>
    <row r="19" spans="2:8" ht="15" customHeight="1" x14ac:dyDescent="0.25">
      <c r="B19" s="23"/>
      <c r="C19" s="6">
        <f>WORKING!CD19</f>
        <v>11</v>
      </c>
      <c r="D19" s="33" t="str">
        <f>WORKING!CE19</f>
        <v>BOUNTY - 24 X 57 GR</v>
      </c>
      <c r="E19" s="7">
        <f>IF(D19&lt;&gt;0,WORKING!CF19,"")</f>
        <v>18</v>
      </c>
      <c r="F19" s="1" t="str">
        <f>IF(E19&gt;0,WORKING!CG19,"")</f>
        <v>pcs</v>
      </c>
      <c r="G19" s="35">
        <f>IF(E19&gt;0,WORKING!CH19,"")</f>
        <v>1</v>
      </c>
      <c r="H19" s="24"/>
    </row>
    <row r="20" spans="2:8" ht="15" customHeight="1" x14ac:dyDescent="0.25">
      <c r="B20" s="23"/>
      <c r="C20" s="6">
        <f>WORKING!CD20</f>
        <v>12</v>
      </c>
      <c r="D20" s="33" t="str">
        <f>WORKING!CE20</f>
        <v>MARS - 24 X 51 GR</v>
      </c>
      <c r="E20" s="7">
        <f>IF(D20&lt;&gt;0,WORKING!CF20,"")</f>
        <v>37</v>
      </c>
      <c r="F20" s="1" t="str">
        <f>IF(E20&gt;0,WORKING!CG20,"")</f>
        <v>pcs</v>
      </c>
      <c r="G20" s="35">
        <f>IF(E20&gt;0,WORKING!CH20,"")</f>
        <v>1</v>
      </c>
      <c r="H20" s="24"/>
    </row>
    <row r="21" spans="2:8" ht="15" customHeight="1" x14ac:dyDescent="0.25">
      <c r="B21" s="23"/>
      <c r="C21" s="6">
        <f>WORKING!CD21</f>
        <v>13</v>
      </c>
      <c r="D21" s="33" t="str">
        <f>WORKING!CE21</f>
        <v>CHOCOLATES TWIX - 25 X 50 GR</v>
      </c>
      <c r="E21" s="7">
        <f>IF(D21&lt;&gt;0,WORKING!CF21,"")</f>
        <v>12</v>
      </c>
      <c r="F21" s="1" t="str">
        <f>IF(E21&gt;0,WORKING!CG21,"")</f>
        <v>pcs</v>
      </c>
      <c r="G21" s="35">
        <f>IF(E21&gt;0,WORKING!CH21,"")</f>
        <v>1</v>
      </c>
      <c r="H21" s="24"/>
    </row>
    <row r="22" spans="2:8" ht="15" customHeight="1" x14ac:dyDescent="0.25">
      <c r="B22" s="23"/>
      <c r="C22" s="6">
        <f>WORKING!CD22</f>
        <v>14</v>
      </c>
      <c r="D22" s="33" t="str">
        <f>WORKING!CE22</f>
        <v>COCA COLA 24X33 CL TINS</v>
      </c>
      <c r="E22" s="7">
        <f>IF(D22&lt;&gt;0,WORKING!CF22,"")</f>
        <v>12</v>
      </c>
      <c r="F22" s="1" t="str">
        <f>IF(E22&gt;0,WORKING!CG22,"")</f>
        <v>case</v>
      </c>
      <c r="G22" s="35">
        <f>IF(E22&gt;0,WORKING!CH22,"")</f>
        <v>18.7</v>
      </c>
      <c r="H22" s="24"/>
    </row>
    <row r="23" spans="2:8" ht="15" customHeight="1" x14ac:dyDescent="0.25">
      <c r="B23" s="23"/>
      <c r="C23" s="6">
        <f>WORKING!CD23</f>
        <v>15</v>
      </c>
      <c r="D23" s="33" t="str">
        <f>WORKING!CE23</f>
        <v>CADBURRY CHOCOLATE DAIRY MILK</v>
      </c>
      <c r="E23" s="7">
        <f>IF(D23&lt;&gt;0,WORKING!CF23,"")</f>
        <v>31</v>
      </c>
      <c r="F23" s="1" t="str">
        <f>IF(E23&gt;0,WORKING!CG23,"")</f>
        <v>box</v>
      </c>
      <c r="G23" s="35">
        <f>IF(E23&gt;0,WORKING!CH23,"")</f>
        <v>5</v>
      </c>
      <c r="H23" s="26"/>
    </row>
    <row r="24" spans="2:8" ht="15" customHeight="1" x14ac:dyDescent="0.25">
      <c r="B24" s="23"/>
      <c r="C24" s="6">
        <f>WORKING!CD24</f>
        <v>16</v>
      </c>
      <c r="D24" s="33" t="str">
        <f>WORKING!CE24</f>
        <v>RITTERSPORT ALMOND</v>
      </c>
      <c r="E24" s="7">
        <f>IF(D24&lt;&gt;0,WORKING!CF24,"")</f>
        <v>32</v>
      </c>
      <c r="F24" s="1" t="str">
        <f>IF(E24&gt;0,WORKING!CG24,"")</f>
        <v>pcs</v>
      </c>
      <c r="G24" s="35">
        <f>IF(E24&gt;0,WORKING!CH24,"")</f>
        <v>2.5</v>
      </c>
      <c r="H24" s="24"/>
    </row>
    <row r="25" spans="2:8" ht="15" customHeight="1" x14ac:dyDescent="0.25">
      <c r="B25" s="23"/>
      <c r="C25" s="6">
        <f>WORKING!CD25</f>
        <v>17</v>
      </c>
      <c r="D25" s="33" t="str">
        <f>WORKING!CE25</f>
        <v>RITTERSPORT ALPINE MILK</v>
      </c>
      <c r="E25" s="7">
        <f>IF(D25&lt;&gt;0,WORKING!CF25,"")</f>
        <v>32</v>
      </c>
      <c r="F25" s="1" t="str">
        <f>IF(E25&gt;0,WORKING!CG25,"")</f>
        <v>pcs</v>
      </c>
      <c r="G25" s="35">
        <f>IF(E25&gt;0,WORKING!CH25,"")</f>
        <v>2.5</v>
      </c>
      <c r="H25" s="24"/>
    </row>
    <row r="26" spans="2:8" ht="15" x14ac:dyDescent="0.25">
      <c r="B26" s="23"/>
      <c r="C26" s="6">
        <f>WORKING!CD26</f>
        <v>18</v>
      </c>
      <c r="D26" s="33" t="str">
        <f>WORKING!CE26</f>
        <v>Bremerhaven</v>
      </c>
      <c r="E26" s="7">
        <f>IF(D26&lt;&gt;0,WORKING!CF26,"")</f>
        <v>1</v>
      </c>
      <c r="F26" s="1">
        <f>IF(E26&gt;0,WORKING!CG26,"")</f>
        <v>0</v>
      </c>
      <c r="G26" s="35">
        <f>IF(E26&gt;0,WORKING!CH26,"")</f>
        <v>0</v>
      </c>
      <c r="H26" s="24"/>
    </row>
    <row r="27" spans="2:8" ht="15" x14ac:dyDescent="0.25">
      <c r="B27" s="23"/>
      <c r="C27" s="6">
        <f>WORKING!CD27</f>
        <v>19</v>
      </c>
      <c r="D27" s="33" t="str">
        <f>WORKING!CE27</f>
        <v>Winston Red</v>
      </c>
      <c r="E27" s="7">
        <f>IF(D27&lt;&gt;0,WORKING!CF27,"")</f>
        <v>50</v>
      </c>
      <c r="F27" s="1" t="str">
        <f>IF(E27&gt;0,WORKING!CG27,"")</f>
        <v>crt</v>
      </c>
      <c r="G27" s="35">
        <f>IF(E27&gt;0,WORKING!CH27,"")</f>
        <v>12.5</v>
      </c>
      <c r="H27" s="24"/>
    </row>
    <row r="28" spans="2:8" ht="15" x14ac:dyDescent="0.25">
      <c r="B28" s="23"/>
      <c r="C28" s="6">
        <f>WORKING!CD28</f>
        <v>20</v>
      </c>
      <c r="D28" s="33" t="str">
        <f>WORKING!CE28</f>
        <v>FANTA ORANGE 24X33 CL TIN</v>
      </c>
      <c r="E28" s="7">
        <f>IF(D28&lt;&gt;0,WORKING!CF28,"")</f>
        <v>20</v>
      </c>
      <c r="F28" s="1" t="str">
        <f>IF(E28&gt;0,WORKING!CG28,"")</f>
        <v>Case</v>
      </c>
      <c r="G28" s="35">
        <f>IF(E28&gt;0,WORKING!CH28,"")</f>
        <v>15</v>
      </c>
      <c r="H28" s="24"/>
    </row>
    <row r="29" spans="2:8" ht="15" x14ac:dyDescent="0.25">
      <c r="B29" s="23"/>
      <c r="C29" s="6">
        <f>WORKING!CD29</f>
        <v>21</v>
      </c>
      <c r="D29" s="33" t="str">
        <f>WORKING!CE29</f>
        <v>PEPSI COLA 24X33 CL TIN</v>
      </c>
      <c r="E29" s="7">
        <f>IF(D29&lt;&gt;0,WORKING!CF29,"")</f>
        <v>19</v>
      </c>
      <c r="F29" s="1" t="str">
        <f>IF(E29&gt;0,WORKING!CG29,"")</f>
        <v>Case</v>
      </c>
      <c r="G29" s="35">
        <f>IF(E29&gt;0,WORKING!CH29,"")</f>
        <v>15</v>
      </c>
      <c r="H29" s="24"/>
    </row>
    <row r="30" spans="2:8" ht="15" x14ac:dyDescent="0.25">
      <c r="B30" s="23"/>
      <c r="C30" s="6">
        <f>WORKING!CD30</f>
        <v>22</v>
      </c>
      <c r="D30" s="33" t="str">
        <f>WORKING!CE30</f>
        <v>SPRITE 24X33CL TINS LEMON</v>
      </c>
      <c r="E30" s="7">
        <f>IF(D30&lt;&gt;0,WORKING!CF30,"")</f>
        <v>16</v>
      </c>
      <c r="F30" s="1" t="str">
        <f>IF(E30&gt;0,WORKING!CG30,"")</f>
        <v>Case</v>
      </c>
      <c r="G30" s="35">
        <f>IF(E30&gt;0,WORKING!CH30,"")</f>
        <v>15</v>
      </c>
      <c r="H30" s="24"/>
    </row>
    <row r="31" spans="2:8" ht="15" x14ac:dyDescent="0.25">
      <c r="B31" s="23"/>
      <c r="C31" s="6">
        <f>WORKING!CD31</f>
        <v>23</v>
      </c>
      <c r="D31" s="33" t="str">
        <f>WORKING!CE31</f>
        <v>Beer Carlsberg 24x33CL tins</v>
      </c>
      <c r="E31" s="7">
        <f>IF(D31&lt;&gt;0,WORKING!CF31,"")</f>
        <v>11</v>
      </c>
      <c r="F31" s="1" t="str">
        <f>IF(E31&gt;0,WORKING!CG31,"")</f>
        <v>Case</v>
      </c>
      <c r="G31" s="35">
        <f>IF(E31&gt;0,WORKING!CH31,"")</f>
        <v>15</v>
      </c>
      <c r="H31" s="24"/>
    </row>
    <row r="32" spans="2:8" ht="15" x14ac:dyDescent="0.25">
      <c r="B32" s="23"/>
      <c r="C32" s="6">
        <f>WORKING!CD32</f>
        <v>24</v>
      </c>
      <c r="D32" s="33" t="str">
        <f>WORKING!CE32</f>
        <v>Wine White</v>
      </c>
      <c r="E32" s="7">
        <f>IF(D32&lt;&gt;0,WORKING!CF32,"")</f>
        <v>4</v>
      </c>
      <c r="F32" s="1" t="str">
        <f>IF(E32&gt;0,WORKING!CG32,"")</f>
        <v>btl</v>
      </c>
      <c r="G32" s="35">
        <f>IF(E32&gt;0,WORKING!CH32,"")</f>
        <v>3</v>
      </c>
      <c r="H32" s="24"/>
    </row>
    <row r="33" spans="2:8" ht="15" x14ac:dyDescent="0.25">
      <c r="B33" s="23"/>
      <c r="C33" s="6">
        <f>WORKING!CD33</f>
        <v>25</v>
      </c>
      <c r="D33" s="33" t="str">
        <f>WORKING!CE33</f>
        <v>Wine Red</v>
      </c>
      <c r="E33" s="7">
        <f>IF(D33&lt;&gt;0,WORKING!CF33,"")</f>
        <v>4</v>
      </c>
      <c r="F33" s="1" t="str">
        <f>IF(E33&gt;0,WORKING!CG33,"")</f>
        <v>btl</v>
      </c>
      <c r="G33" s="35">
        <f>IF(E33&gt;0,WORKING!CH33,"")</f>
        <v>3</v>
      </c>
      <c r="H33" s="24"/>
    </row>
    <row r="34" spans="2:8" ht="15" x14ac:dyDescent="0.25">
      <c r="B34" s="23"/>
      <c r="C34" s="6">
        <f>WORKING!CD34</f>
        <v>26</v>
      </c>
      <c r="D34" s="33" t="str">
        <f>WORKING!CE34</f>
        <v>Bounty</v>
      </c>
      <c r="E34" s="7">
        <f>IF(D34&lt;&gt;0,WORKING!CF34,"")</f>
        <v>24</v>
      </c>
      <c r="F34" s="1" t="str">
        <f>IF(E34&gt;0,WORKING!CG34,"")</f>
        <v>pcs</v>
      </c>
      <c r="G34" s="35">
        <f>IF(E34&gt;0,WORKING!CH34,"")</f>
        <v>1</v>
      </c>
      <c r="H34" s="24"/>
    </row>
    <row r="35" spans="2:8" ht="15" x14ac:dyDescent="0.25">
      <c r="B35" s="23"/>
      <c r="C35" s="6">
        <f>WORKING!CD35</f>
        <v>27</v>
      </c>
      <c r="D35" s="33" t="str">
        <f>WORKING!CE35</f>
        <v>Pringles Hot&amp;Spicy</v>
      </c>
      <c r="E35" s="7">
        <f>IF(D35&lt;&gt;0,WORKING!CF35,"")</f>
        <v>8</v>
      </c>
      <c r="F35" s="1" t="str">
        <f>IF(E35&gt;0,WORKING!CG35,"")</f>
        <v>pcs</v>
      </c>
      <c r="G35" s="35">
        <f>IF(E35&gt;0,WORKING!CH35,"")</f>
        <v>2.5</v>
      </c>
      <c r="H35" s="24"/>
    </row>
    <row r="36" spans="2:8" ht="15" x14ac:dyDescent="0.25">
      <c r="B36" s="23"/>
      <c r="C36" s="6">
        <f>WORKING!CD36</f>
        <v>28</v>
      </c>
      <c r="D36" s="33" t="str">
        <f>WORKING!CE36</f>
        <v>Pistacos salted</v>
      </c>
      <c r="E36" s="7">
        <f>IF(D36&lt;&gt;0,WORKING!CF36,"")</f>
        <v>1</v>
      </c>
      <c r="F36" s="1" t="str">
        <f>IF(E36&gt;0,WORKING!CG36,"")</f>
        <v>pkt</v>
      </c>
      <c r="G36" s="35">
        <f>IF(E36&gt;0,WORKING!CH36,"")</f>
        <v>4.5999999999999996</v>
      </c>
      <c r="H36" s="24"/>
    </row>
    <row r="37" spans="2:8" ht="15" x14ac:dyDescent="0.25">
      <c r="B37" s="23"/>
      <c r="C37" s="6">
        <f>WORKING!CD37</f>
        <v>29</v>
      </c>
      <c r="D37" s="33" t="str">
        <f>WORKING!CE37</f>
        <v>Peanuts salted</v>
      </c>
      <c r="E37" s="7">
        <f>IF(D37&lt;&gt;0,WORKING!CF37,"")</f>
        <v>18</v>
      </c>
      <c r="F37" s="1" t="str">
        <f>IF(E37&gt;0,WORKING!CG37,"")</f>
        <v>can</v>
      </c>
      <c r="G37" s="35">
        <f>IF(E37&gt;0,WORKING!CH37,"")</f>
        <v>1.5</v>
      </c>
      <c r="H37" s="24"/>
    </row>
    <row r="38" spans="2:8" ht="15" x14ac:dyDescent="0.25">
      <c r="B38" s="23"/>
      <c r="C38" s="6">
        <f>WORKING!CD38</f>
        <v>30</v>
      </c>
      <c r="D38" s="33" t="str">
        <f>WORKING!CE38</f>
        <v>Colgate toothpaste</v>
      </c>
      <c r="E38" s="7">
        <f>IF(D38&lt;&gt;0,WORKING!CF38,"")</f>
        <v>9</v>
      </c>
      <c r="F38" s="1" t="str">
        <f>IF(E38&gt;0,WORKING!CG38,"")</f>
        <v>pcs</v>
      </c>
      <c r="G38" s="35">
        <f>IF(E38&gt;0,WORKING!CH38,"")</f>
        <v>1.8</v>
      </c>
      <c r="H38" s="24"/>
    </row>
    <row r="39" spans="2:8" ht="15" x14ac:dyDescent="0.25">
      <c r="B39" s="23"/>
      <c r="C39" s="6">
        <f>WORKING!CD39</f>
        <v>31</v>
      </c>
      <c r="D39" s="33" t="str">
        <f>WORKING!CE39</f>
        <v>Shauma Shampoo</v>
      </c>
      <c r="E39" s="7">
        <f>IF(D39&lt;&gt;0,WORKING!CF39,"")</f>
        <v>10</v>
      </c>
      <c r="F39" s="1" t="str">
        <f>IF(E39&gt;0,WORKING!CG39,"")</f>
        <v>pcs</v>
      </c>
      <c r="G39" s="35">
        <f>IF(E39&gt;0,WORKING!CH39,"")</f>
        <v>2.8</v>
      </c>
      <c r="H39" s="24"/>
    </row>
    <row r="40" spans="2:8" ht="15" hidden="1" x14ac:dyDescent="0.25">
      <c r="B40" s="23"/>
      <c r="C40" s="6">
        <f>WORKING!CD40</f>
        <v>32</v>
      </c>
      <c r="D40" s="33">
        <f>WORKING!CE40</f>
        <v>0</v>
      </c>
      <c r="E40" s="7" t="str">
        <f>IF(D40&lt;&gt;0,WORKING!CF40,"")</f>
        <v/>
      </c>
      <c r="F40" s="1">
        <f>IF(E40&gt;0,WORKING!CG40,"")</f>
        <v>0</v>
      </c>
      <c r="G40" s="35">
        <f>IF(E40&gt;0,WORKING!CH40,"")</f>
        <v>0</v>
      </c>
      <c r="H40" s="24"/>
    </row>
    <row r="41" spans="2:8" ht="15" hidden="1" x14ac:dyDescent="0.25">
      <c r="B41" s="23"/>
      <c r="C41" s="6">
        <f>WORKING!CD41</f>
        <v>33</v>
      </c>
      <c r="D41" s="33">
        <f>WORKING!CE41</f>
        <v>0</v>
      </c>
      <c r="E41" s="7" t="str">
        <f>IF(D41&lt;&gt;0,WORKING!CF41,"")</f>
        <v/>
      </c>
      <c r="F41" s="1">
        <f>IF(E41&gt;0,WORKING!CG41,"")</f>
        <v>0</v>
      </c>
      <c r="G41" s="35">
        <f>IF(E41&gt;0,WORKING!CH41,"")</f>
        <v>0</v>
      </c>
      <c r="H41" s="24"/>
    </row>
    <row r="42" spans="2:8" ht="15" hidden="1" x14ac:dyDescent="0.25">
      <c r="B42" s="23"/>
      <c r="C42" s="6">
        <f>WORKING!CD42</f>
        <v>34</v>
      </c>
      <c r="D42" s="33">
        <f>WORKING!CE42</f>
        <v>0</v>
      </c>
      <c r="E42" s="7" t="str">
        <f>IF(D42&lt;&gt;0,WORKING!CF42,"")</f>
        <v/>
      </c>
      <c r="F42" s="1">
        <f>IF(E42&gt;0,WORKING!CG42,"")</f>
        <v>0</v>
      </c>
      <c r="G42" s="35">
        <f>IF(E42&gt;0,WORKING!CH42,"")</f>
        <v>0</v>
      </c>
      <c r="H42" s="24"/>
    </row>
    <row r="43" spans="2:8" ht="12.75" hidden="1" customHeight="1" x14ac:dyDescent="0.25">
      <c r="B43" s="23"/>
      <c r="C43" s="6">
        <f>WORKING!CD43</f>
        <v>35</v>
      </c>
      <c r="D43" s="33">
        <f>WORKING!CE43</f>
        <v>0</v>
      </c>
      <c r="E43" s="7" t="str">
        <f>IF(D43&lt;&gt;0,WORKING!CF43,"")</f>
        <v/>
      </c>
      <c r="F43" s="1">
        <f>IF(E43&gt;0,WORKING!CG43,"")</f>
        <v>0</v>
      </c>
      <c r="G43" s="35">
        <f>IF(E43&gt;0,WORKING!CH43,"")</f>
        <v>0</v>
      </c>
      <c r="H43" s="24"/>
    </row>
    <row r="44" spans="2:8" ht="12.75" hidden="1" customHeight="1" x14ac:dyDescent="0.25">
      <c r="B44" s="23"/>
      <c r="C44" s="6">
        <f>WORKING!CD44</f>
        <v>36</v>
      </c>
      <c r="D44" s="33">
        <f>WORKING!CE44</f>
        <v>0</v>
      </c>
      <c r="E44" s="7" t="str">
        <f>IF(D44&lt;&gt;0,WORKING!CF44,"")</f>
        <v/>
      </c>
      <c r="F44" s="1">
        <f>IF(E44&gt;0,WORKING!CG44,"")</f>
        <v>0</v>
      </c>
      <c r="G44" s="34">
        <f>IF(E44&gt;0,WORKING!CH44,"")</f>
        <v>0</v>
      </c>
      <c r="H44" s="24"/>
    </row>
    <row r="45" spans="2:8" ht="12.75" hidden="1" customHeight="1" x14ac:dyDescent="0.25">
      <c r="B45" s="23"/>
      <c r="C45" s="6">
        <f>WORKING!CD45</f>
        <v>37</v>
      </c>
      <c r="D45" s="33">
        <f>WORKING!CE45</f>
        <v>0</v>
      </c>
      <c r="E45" s="7" t="str">
        <f>IF(D45&lt;&gt;0,WORKING!CF45,"")</f>
        <v/>
      </c>
      <c r="F45" s="1">
        <f>IF(E45&gt;0,WORKING!CG45,"")</f>
        <v>0</v>
      </c>
      <c r="G45" s="34">
        <f>IF(E45&gt;0,WORKING!CH45,"")</f>
        <v>0</v>
      </c>
      <c r="H45" s="24"/>
    </row>
    <row r="46" spans="2:8" ht="12.75" hidden="1" customHeight="1" x14ac:dyDescent="0.25">
      <c r="B46" s="23"/>
      <c r="C46" s="6">
        <f>WORKING!CD46</f>
        <v>38</v>
      </c>
      <c r="D46" s="33">
        <f>WORKING!CE46</f>
        <v>0</v>
      </c>
      <c r="E46" s="7" t="str">
        <f>IF(D46&lt;&gt;0,WORKING!CF46,"")</f>
        <v/>
      </c>
      <c r="F46" s="1">
        <f>IF(E46&gt;0,WORKING!CG46,"")</f>
        <v>0</v>
      </c>
      <c r="G46" s="34">
        <f>IF(E46&gt;0,WORKING!CH46,"")</f>
        <v>0</v>
      </c>
      <c r="H46" s="24"/>
    </row>
    <row r="47" spans="2:8" ht="12.75" hidden="1" customHeight="1" x14ac:dyDescent="0.25">
      <c r="B47" s="23"/>
      <c r="C47" s="6">
        <f>WORKING!CD47</f>
        <v>39</v>
      </c>
      <c r="D47" s="33">
        <f>WORKING!CE47</f>
        <v>0</v>
      </c>
      <c r="E47" s="7" t="str">
        <f>IF(D47&lt;&gt;0,WORKING!CF47,"")</f>
        <v/>
      </c>
      <c r="F47" s="1">
        <f>IF(E47&gt;0,WORKING!CG47,"")</f>
        <v>0</v>
      </c>
      <c r="G47" s="34">
        <f>IF(E47&gt;0,WORKING!CH47,"")</f>
        <v>0</v>
      </c>
      <c r="H47" s="24"/>
    </row>
    <row r="48" spans="2:8" ht="12.75" hidden="1" customHeight="1" x14ac:dyDescent="0.25">
      <c r="B48" s="23"/>
      <c r="C48" s="6">
        <f>WORKING!CD48</f>
        <v>40</v>
      </c>
      <c r="D48" s="33">
        <f>WORKING!CE48</f>
        <v>0</v>
      </c>
      <c r="E48" s="7" t="str">
        <f>IF(D48&lt;&gt;0,WORKING!CF48,"")</f>
        <v/>
      </c>
      <c r="F48" s="1">
        <f>IF(E48&gt;0,WORKING!CG48,"")</f>
        <v>0</v>
      </c>
      <c r="G48" s="34">
        <f>IF(E48&gt;0,WORKING!CH48,"")</f>
        <v>0</v>
      </c>
      <c r="H48" s="24"/>
    </row>
    <row r="49" spans="2:8" ht="12.75" hidden="1" customHeight="1" x14ac:dyDescent="0.25">
      <c r="B49" s="23"/>
      <c r="C49" s="6">
        <f>WORKING!CD49</f>
        <v>41</v>
      </c>
      <c r="D49" s="33">
        <f>WORKING!CE49</f>
        <v>0</v>
      </c>
      <c r="E49" s="7" t="str">
        <f>IF(D49&lt;&gt;0,WORKING!CF49,"")</f>
        <v/>
      </c>
      <c r="F49" s="1">
        <f>IF(E49&gt;0,WORKING!CG49,"")</f>
        <v>0</v>
      </c>
      <c r="G49" s="34">
        <f>IF(E49&gt;0,WORKING!CH49,"")</f>
        <v>0</v>
      </c>
      <c r="H49" s="24"/>
    </row>
    <row r="50" spans="2:8" ht="12.75" hidden="1" customHeight="1" x14ac:dyDescent="0.25">
      <c r="B50" s="23"/>
      <c r="C50" s="6">
        <f>WORKING!CD50</f>
        <v>42</v>
      </c>
      <c r="D50" s="33">
        <f>WORKING!CE50</f>
        <v>0</v>
      </c>
      <c r="E50" s="7" t="str">
        <f>IF(D50&lt;&gt;0,WORKING!CF50,"")</f>
        <v/>
      </c>
      <c r="F50" s="1">
        <f>IF(E50&gt;0,WORKING!CG50,"")</f>
        <v>0</v>
      </c>
      <c r="G50" s="34">
        <f>IF(E50&gt;0,WORKING!CH50,"")</f>
        <v>0</v>
      </c>
      <c r="H50" s="24"/>
    </row>
    <row r="51" spans="2:8" ht="12.75" hidden="1" customHeight="1" x14ac:dyDescent="0.25">
      <c r="B51" s="23"/>
      <c r="C51" s="6">
        <f>WORKING!CD51</f>
        <v>43</v>
      </c>
      <c r="D51" s="33">
        <f>WORKING!CE51</f>
        <v>0</v>
      </c>
      <c r="E51" s="7" t="str">
        <f>IF(D51&lt;&gt;0,WORKING!CF51,"")</f>
        <v/>
      </c>
      <c r="F51" s="1">
        <f>IF(E51&gt;0,WORKING!CG51,"")</f>
        <v>0</v>
      </c>
      <c r="G51" s="34">
        <f>IF(E51&gt;0,WORKING!CH51,"")</f>
        <v>0</v>
      </c>
      <c r="H51" s="24"/>
    </row>
    <row r="52" spans="2:8" ht="12.75" hidden="1" customHeight="1" x14ac:dyDescent="0.25">
      <c r="B52" s="23"/>
      <c r="C52" s="6">
        <f>WORKING!CD52</f>
        <v>44</v>
      </c>
      <c r="D52" s="33">
        <f>WORKING!CE52</f>
        <v>0</v>
      </c>
      <c r="E52" s="7" t="str">
        <f>IF(D52&lt;&gt;0,WORKING!CF52,"")</f>
        <v/>
      </c>
      <c r="F52" s="1">
        <f>IF(E52&gt;0,WORKING!CG52,"")</f>
        <v>0</v>
      </c>
      <c r="G52" s="34">
        <f>IF(E52&gt;0,WORKING!CH52,"")</f>
        <v>0</v>
      </c>
      <c r="H52" s="24"/>
    </row>
    <row r="53" spans="2:8" ht="12.75" hidden="1" customHeight="1" x14ac:dyDescent="0.25">
      <c r="B53" s="23"/>
      <c r="C53" s="6">
        <f>WORKING!CD53</f>
        <v>45</v>
      </c>
      <c r="D53" s="33">
        <f>WORKING!CE53</f>
        <v>0</v>
      </c>
      <c r="E53" s="7" t="str">
        <f>IF(D53&lt;&gt;0,WORKING!CF53,"")</f>
        <v/>
      </c>
      <c r="F53" s="1">
        <f>IF(E53&gt;0,WORKING!CG53,"")</f>
        <v>0</v>
      </c>
      <c r="G53" s="34">
        <f>IF(E53&gt;0,WORKING!CH53,"")</f>
        <v>0</v>
      </c>
      <c r="H53" s="24"/>
    </row>
    <row r="54" spans="2:8" ht="12.75" hidden="1" customHeight="1" x14ac:dyDescent="0.25">
      <c r="B54" s="23"/>
      <c r="C54" s="6">
        <f>WORKING!CD54</f>
        <v>46</v>
      </c>
      <c r="D54" s="33">
        <f>WORKING!CE54</f>
        <v>0</v>
      </c>
      <c r="E54" s="7" t="str">
        <f>IF(D54&lt;&gt;0,WORKING!CF54,"")</f>
        <v/>
      </c>
      <c r="F54" s="1">
        <f>IF(E54&gt;0,WORKING!CG54,"")</f>
        <v>0</v>
      </c>
      <c r="G54" s="34">
        <f>IF(E54&gt;0,WORKING!CH54,"")</f>
        <v>0</v>
      </c>
      <c r="H54" s="24"/>
    </row>
    <row r="55" spans="2:8" ht="12.75" hidden="1" customHeight="1" x14ac:dyDescent="0.25">
      <c r="B55" s="23"/>
      <c r="C55" s="6">
        <f>WORKING!CD55</f>
        <v>47</v>
      </c>
      <c r="D55" s="33">
        <f>WORKING!CE55</f>
        <v>0</v>
      </c>
      <c r="E55" s="7" t="str">
        <f>IF(D55&lt;&gt;0,WORKING!CF55,"")</f>
        <v/>
      </c>
      <c r="F55" s="1">
        <f>IF(E55&gt;0,WORKING!CG55,"")</f>
        <v>0</v>
      </c>
      <c r="G55" s="34">
        <f>IF(E55&gt;0,WORKING!CH55,"")</f>
        <v>0</v>
      </c>
      <c r="H55" s="24"/>
    </row>
    <row r="56" spans="2:8" ht="12.75" hidden="1" customHeight="1" x14ac:dyDescent="0.25">
      <c r="B56" s="23"/>
      <c r="C56" s="6">
        <f>WORKING!CD56</f>
        <v>48</v>
      </c>
      <c r="D56" s="33">
        <f>WORKING!CE56</f>
        <v>0</v>
      </c>
      <c r="E56" s="7" t="str">
        <f>IF(D56&lt;&gt;0,WORKING!CF56,"")</f>
        <v/>
      </c>
      <c r="F56" s="1">
        <f>IF(E56&gt;0,WORKING!CG56,"")</f>
        <v>0</v>
      </c>
      <c r="G56" s="34">
        <f>IF(E56&gt;0,WORKING!CH56,"")</f>
        <v>0</v>
      </c>
      <c r="H56" s="24"/>
    </row>
    <row r="57" spans="2:8" ht="12.75" hidden="1" customHeight="1" x14ac:dyDescent="0.25">
      <c r="B57" s="23"/>
      <c r="C57" s="6">
        <f>WORKING!CD57</f>
        <v>49</v>
      </c>
      <c r="D57" s="33">
        <f>WORKING!CE57</f>
        <v>0</v>
      </c>
      <c r="E57" s="7" t="str">
        <f>IF(D57&lt;&gt;0,WORKING!CF57,"")</f>
        <v/>
      </c>
      <c r="F57" s="1">
        <f>IF(E57&gt;0,WORKING!CG57,"")</f>
        <v>0</v>
      </c>
      <c r="G57" s="34">
        <f>IF(E57&gt;0,WORKING!CH57,"")</f>
        <v>0</v>
      </c>
      <c r="H57" s="24"/>
    </row>
    <row r="58" spans="2:8" ht="12.75" hidden="1" customHeight="1" x14ac:dyDescent="0.25">
      <c r="B58" s="23"/>
      <c r="C58" s="6">
        <f>WORKING!CD58</f>
        <v>50</v>
      </c>
      <c r="D58" s="33">
        <f>WORKING!CE58</f>
        <v>0</v>
      </c>
      <c r="E58" s="7" t="str">
        <f>IF(D58&lt;&gt;0,WORKING!CF58,"")</f>
        <v/>
      </c>
      <c r="F58" s="1">
        <f>IF(E58&gt;0,WORKING!CG58,"")</f>
        <v>0</v>
      </c>
      <c r="G58" s="34">
        <f>IF(E58&gt;0,WORKING!CH58,"")</f>
        <v>0</v>
      </c>
      <c r="H58" s="24"/>
    </row>
    <row r="59" spans="2:8" ht="12.75" hidden="1" customHeight="1" x14ac:dyDescent="0.25">
      <c r="B59" s="23"/>
      <c r="C59" s="6">
        <f>WORKING!CD59</f>
        <v>51</v>
      </c>
      <c r="D59" s="33">
        <f>WORKING!CE59</f>
        <v>0</v>
      </c>
      <c r="E59" s="7" t="str">
        <f>IF(D59&lt;&gt;0,WORKING!CF59,"")</f>
        <v/>
      </c>
      <c r="F59" s="1">
        <f>IF(E59&gt;0,WORKING!CG59,"")</f>
        <v>0</v>
      </c>
      <c r="G59" s="34">
        <f>IF(E59&gt;0,WORKING!CH59,"")</f>
        <v>0</v>
      </c>
      <c r="H59" s="24"/>
    </row>
    <row r="60" spans="2:8" ht="12.75" hidden="1" customHeight="1" x14ac:dyDescent="0.25">
      <c r="B60" s="23"/>
      <c r="C60" s="6">
        <f>WORKING!CD60</f>
        <v>52</v>
      </c>
      <c r="D60" s="33">
        <f>WORKING!CE60</f>
        <v>0</v>
      </c>
      <c r="E60" s="7" t="str">
        <f>IF(D60&lt;&gt;0,WORKING!CF60,"")</f>
        <v/>
      </c>
      <c r="F60" s="1">
        <f>IF(E60&gt;0,WORKING!CG60,"")</f>
        <v>0</v>
      </c>
      <c r="G60" s="34">
        <f>IF(E60&gt;0,WORKING!CH60,"")</f>
        <v>0</v>
      </c>
      <c r="H60" s="24"/>
    </row>
    <row r="61" spans="2:8" ht="12.75" hidden="1" customHeight="1" thickBot="1" x14ac:dyDescent="0.3">
      <c r="B61" s="23"/>
      <c r="C61" s="6">
        <v>57</v>
      </c>
      <c r="D61" s="33">
        <f>WORKING!CE61</f>
        <v>0</v>
      </c>
      <c r="E61" s="7" t="str">
        <f>IF(D61&lt;&gt;0,WORKING!CF61,"")</f>
        <v/>
      </c>
      <c r="F61" s="1">
        <f>IF(E61&gt;0,WORKING!CG61,"")</f>
        <v>0</v>
      </c>
      <c r="G61" s="34">
        <f>IF(E61&gt;0,WORKING!CH61,"")</f>
        <v>0</v>
      </c>
      <c r="H61" s="24"/>
    </row>
    <row r="62" spans="2:8" ht="12.75" hidden="1" customHeight="1" x14ac:dyDescent="0.2">
      <c r="B62" s="23"/>
      <c r="C62" s="229" t="s">
        <v>6</v>
      </c>
      <c r="D62" s="238" t="s">
        <v>12</v>
      </c>
      <c r="E62" s="239"/>
      <c r="F62" s="239"/>
      <c r="G62" s="240"/>
      <c r="H62" s="24"/>
    </row>
    <row r="63" spans="2:8" ht="12.75" hidden="1" customHeight="1" thickBot="1" x14ac:dyDescent="0.25">
      <c r="B63" s="23"/>
      <c r="C63" s="230"/>
      <c r="D63" s="235"/>
      <c r="E63" s="236"/>
      <c r="F63" s="236"/>
      <c r="G63" s="237"/>
      <c r="H63" s="24"/>
    </row>
    <row r="64" spans="2:8" ht="12.75" hidden="1" customHeight="1" x14ac:dyDescent="0.2">
      <c r="B64" s="23"/>
      <c r="C64" s="12" t="e">
        <f>WORKING!#REF!</f>
        <v>#REF!</v>
      </c>
      <c r="D64" s="3"/>
      <c r="E64" s="18"/>
      <c r="F64" s="4"/>
      <c r="G64" s="13"/>
      <c r="H64" s="24"/>
    </row>
    <row r="65" spans="2:8" ht="12.75" hidden="1" customHeight="1" thickBot="1" x14ac:dyDescent="0.25">
      <c r="B65" s="23"/>
      <c r="C65" s="14" t="e">
        <f>WORKING!#REF!</f>
        <v>#REF!</v>
      </c>
      <c r="D65" s="15"/>
      <c r="E65" s="19"/>
      <c r="F65" s="16"/>
      <c r="G65" s="17"/>
      <c r="H65" s="24"/>
    </row>
    <row r="66" spans="2:8" ht="12.75" customHeight="1" thickBot="1" x14ac:dyDescent="0.25">
      <c r="B66" s="27"/>
      <c r="C66" s="28"/>
      <c r="D66" s="28"/>
      <c r="E66" s="29"/>
      <c r="F66" s="30"/>
      <c r="G66" s="31"/>
      <c r="H66" s="32"/>
    </row>
    <row r="67" spans="2:8" ht="13.5" thickTop="1" x14ac:dyDescent="0.2"/>
    <row r="68" spans="2:8" ht="12.75" hidden="1" customHeight="1" x14ac:dyDescent="0.2"/>
    <row r="69" spans="2:8" ht="12.75" hidden="1" customHeight="1" x14ac:dyDescent="0.2"/>
    <row r="70" spans="2:8" ht="12.75" hidden="1" customHeight="1" x14ac:dyDescent="0.2"/>
  </sheetData>
  <sheetProtection sheet="1" scenarios="1" selectLockedCells="1" selectUnlockedCells="1"/>
  <mergeCells count="6">
    <mergeCell ref="C62:C63"/>
    <mergeCell ref="C7:C8"/>
    <mergeCell ref="D3:G3"/>
    <mergeCell ref="D5:G5"/>
    <mergeCell ref="D7:G8"/>
    <mergeCell ref="D62:G63"/>
  </mergeCells>
  <conditionalFormatting sqref="D9:D61 F9:G61">
    <cfRule type="cellIs" dxfId="2" priority="2" stopIfTrue="1" operator="equal">
      <formula>0</formula>
    </cfRule>
  </conditionalFormatting>
  <conditionalFormatting sqref="E9:E61">
    <cfRule type="cellIs" dxfId="1" priority="1" stopIfTrue="1" operator="lessThanOrEqual">
      <formula>0</formula>
    </cfRule>
  </conditionalFormatting>
  <pageMargins left="0.39370078740157483" right="0.19685039370078741" top="0.39370078740157483" bottom="0" header="0.51181102362204722" footer="0"/>
  <pageSetup paperSize="9" scale="120" fitToHeight="0" orientation="portrait" horizontalDpi="360" verticalDpi="36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CB686-795A-4E30-9FE9-60283A3EDEE3}">
  <sheetPr codeName="Sheet3">
    <tabColor rgb="FF00B050"/>
  </sheetPr>
  <dimension ref="A1:M23"/>
  <sheetViews>
    <sheetView showGridLines="0" showRowColHeaders="0" zoomScaleNormal="100" workbookViewId="0">
      <selection activeCell="C10" sqref="C10"/>
    </sheetView>
  </sheetViews>
  <sheetFormatPr defaultColWidth="9.140625" defaultRowHeight="12.75" zeroHeight="1" x14ac:dyDescent="0.2"/>
  <cols>
    <col min="1" max="2" width="9.140625" customWidth="1"/>
    <col min="3" max="3" width="16.5703125" customWidth="1"/>
    <col min="4" max="4" width="10.85546875" style="133" customWidth="1"/>
    <col min="5" max="5" width="16.5703125" customWidth="1"/>
    <col min="6" max="6" width="9.140625" customWidth="1"/>
    <col min="7" max="7" width="14.28515625" customWidth="1"/>
    <col min="8" max="8" width="9.140625" customWidth="1"/>
  </cols>
  <sheetData>
    <row r="1" spans="1:12" ht="13.5" thickBot="1" x14ac:dyDescent="0.25">
      <c r="A1" s="241" t="s">
        <v>57</v>
      </c>
      <c r="B1" s="241"/>
      <c r="C1" s="241"/>
      <c r="D1" s="132" t="s">
        <v>64</v>
      </c>
      <c r="E1" s="122"/>
      <c r="G1" s="66" t="s">
        <v>62</v>
      </c>
      <c r="H1" s="66" t="s">
        <v>63</v>
      </c>
    </row>
    <row r="2" spans="1:12" x14ac:dyDescent="0.2">
      <c r="A2" s="126">
        <v>1</v>
      </c>
      <c r="B2" s="127" t="s">
        <v>0</v>
      </c>
      <c r="C2" s="178" t="s">
        <v>66</v>
      </c>
      <c r="D2" s="134">
        <f>WORKING!G62</f>
        <v>0</v>
      </c>
      <c r="E2" s="123"/>
      <c r="G2" s="113"/>
      <c r="H2" s="114"/>
      <c r="J2" s="242" t="s">
        <v>65</v>
      </c>
      <c r="K2" s="242"/>
      <c r="L2" s="177" t="b">
        <v>0</v>
      </c>
    </row>
    <row r="3" spans="1:12" x14ac:dyDescent="0.2">
      <c r="A3" s="128">
        <v>2</v>
      </c>
      <c r="B3" s="112" t="s">
        <v>61</v>
      </c>
      <c r="C3" s="112" t="s">
        <v>66</v>
      </c>
      <c r="D3" s="135">
        <f>WORKING!I62</f>
        <v>0</v>
      </c>
      <c r="E3" s="123"/>
      <c r="G3" s="113"/>
      <c r="H3" s="114"/>
    </row>
    <row r="4" spans="1:12" x14ac:dyDescent="0.2">
      <c r="A4" s="128">
        <v>3</v>
      </c>
      <c r="B4" s="112" t="s">
        <v>60</v>
      </c>
      <c r="C4" s="112" t="s">
        <v>66</v>
      </c>
      <c r="D4" s="135">
        <f>WORKING!K62</f>
        <v>0</v>
      </c>
      <c r="E4" s="123"/>
      <c r="G4" s="113"/>
      <c r="H4" s="114"/>
    </row>
    <row r="5" spans="1:12" x14ac:dyDescent="0.2">
      <c r="A5" s="128">
        <v>4</v>
      </c>
      <c r="B5" s="112" t="s">
        <v>59</v>
      </c>
      <c r="C5" s="112" t="s">
        <v>66</v>
      </c>
      <c r="D5" s="135">
        <f>WORKING!M62</f>
        <v>0</v>
      </c>
      <c r="E5" s="123"/>
      <c r="G5" s="112"/>
      <c r="H5" s="114"/>
    </row>
    <row r="6" spans="1:12" x14ac:dyDescent="0.2">
      <c r="A6" s="128">
        <v>5</v>
      </c>
      <c r="B6" s="112" t="s">
        <v>58</v>
      </c>
      <c r="C6" s="112" t="s">
        <v>66</v>
      </c>
      <c r="D6" s="135">
        <f>WORKING!O62</f>
        <v>0</v>
      </c>
      <c r="E6" s="123"/>
      <c r="G6" s="112"/>
      <c r="H6" s="114"/>
    </row>
    <row r="7" spans="1:12" x14ac:dyDescent="0.2">
      <c r="A7" s="128">
        <v>6</v>
      </c>
      <c r="B7" s="112" t="s">
        <v>54</v>
      </c>
      <c r="C7" s="112" t="s">
        <v>66</v>
      </c>
      <c r="D7" s="135">
        <f>WORKING!Q62</f>
        <v>0</v>
      </c>
      <c r="E7" s="123"/>
      <c r="G7" s="112"/>
      <c r="H7" s="114"/>
    </row>
    <row r="8" spans="1:12" x14ac:dyDescent="0.2">
      <c r="A8" s="128">
        <v>7</v>
      </c>
      <c r="B8" s="112" t="s">
        <v>11</v>
      </c>
      <c r="C8" s="112" t="s">
        <v>66</v>
      </c>
      <c r="D8" s="135">
        <f>WORKING!S62</f>
        <v>0</v>
      </c>
      <c r="E8" s="123"/>
      <c r="G8" s="112"/>
      <c r="H8" s="114"/>
    </row>
    <row r="9" spans="1:12" x14ac:dyDescent="0.2">
      <c r="A9" s="128">
        <v>8</v>
      </c>
      <c r="B9" s="112" t="s">
        <v>1</v>
      </c>
      <c r="C9" s="112" t="s">
        <v>66</v>
      </c>
      <c r="D9" s="135">
        <f>WORKING!U62</f>
        <v>0</v>
      </c>
      <c r="E9" s="123"/>
      <c r="G9" s="112"/>
      <c r="H9" s="114"/>
    </row>
    <row r="10" spans="1:12" x14ac:dyDescent="0.2">
      <c r="A10" s="128">
        <v>9</v>
      </c>
      <c r="B10" s="112" t="s">
        <v>1</v>
      </c>
      <c r="C10" s="112" t="s">
        <v>66</v>
      </c>
      <c r="D10" s="135">
        <f>WORKING!W62</f>
        <v>0</v>
      </c>
      <c r="E10" s="123"/>
      <c r="G10" s="112"/>
      <c r="H10" s="114"/>
    </row>
    <row r="11" spans="1:12" x14ac:dyDescent="0.2">
      <c r="A11" s="128">
        <v>10</v>
      </c>
      <c r="B11" s="112" t="s">
        <v>2</v>
      </c>
      <c r="C11" s="120" t="s">
        <v>66</v>
      </c>
      <c r="D11" s="135">
        <f>WORKING!Y62</f>
        <v>0</v>
      </c>
      <c r="E11" s="123"/>
      <c r="G11" s="112"/>
      <c r="H11" s="114"/>
    </row>
    <row r="12" spans="1:12" x14ac:dyDescent="0.2">
      <c r="A12" s="128">
        <v>11</v>
      </c>
      <c r="B12" s="112" t="s">
        <v>2</v>
      </c>
      <c r="C12" s="112" t="s">
        <v>66</v>
      </c>
      <c r="D12" s="135">
        <f>WORKING!AA62</f>
        <v>0</v>
      </c>
      <c r="E12" s="123"/>
      <c r="G12" s="112"/>
      <c r="H12" s="114"/>
    </row>
    <row r="13" spans="1:12" x14ac:dyDescent="0.2">
      <c r="A13" s="128">
        <v>12</v>
      </c>
      <c r="B13" s="112" t="s">
        <v>55</v>
      </c>
      <c r="C13" s="113" t="s">
        <v>66</v>
      </c>
      <c r="D13" s="135">
        <f>WORKING!AC62</f>
        <v>0</v>
      </c>
      <c r="E13" s="123"/>
    </row>
    <row r="14" spans="1:12" x14ac:dyDescent="0.2">
      <c r="A14" s="128">
        <v>13</v>
      </c>
      <c r="B14" s="112" t="s">
        <v>3</v>
      </c>
      <c r="C14" s="112" t="s">
        <v>66</v>
      </c>
      <c r="D14" s="135">
        <f>WORKING!AE62</f>
        <v>0</v>
      </c>
      <c r="E14" s="123"/>
    </row>
    <row r="15" spans="1:12" x14ac:dyDescent="0.2">
      <c r="A15" s="128">
        <v>14</v>
      </c>
      <c r="B15" s="112" t="s">
        <v>56</v>
      </c>
      <c r="C15" s="112" t="s">
        <v>66</v>
      </c>
      <c r="D15" s="135">
        <f>WORKING!AG62</f>
        <v>0</v>
      </c>
      <c r="E15" s="123"/>
    </row>
    <row r="16" spans="1:12" x14ac:dyDescent="0.2">
      <c r="A16" s="128">
        <v>15</v>
      </c>
      <c r="B16" s="113"/>
      <c r="C16" s="113"/>
      <c r="D16" s="135">
        <f>WORKING!AI62</f>
        <v>0</v>
      </c>
      <c r="E16" s="124"/>
    </row>
    <row r="17" spans="1:13" x14ac:dyDescent="0.2">
      <c r="A17" s="128">
        <v>16</v>
      </c>
      <c r="B17" s="142"/>
      <c r="C17" s="120"/>
      <c r="D17" s="135">
        <f>WORKING!AK62</f>
        <v>0</v>
      </c>
      <c r="E17" s="125"/>
    </row>
    <row r="18" spans="1:13" x14ac:dyDescent="0.2">
      <c r="A18" s="128">
        <v>17</v>
      </c>
      <c r="B18" s="112"/>
      <c r="C18" s="113"/>
      <c r="D18" s="135">
        <f>WORKING!AM62</f>
        <v>0</v>
      </c>
      <c r="E18" s="124"/>
    </row>
    <row r="19" spans="1:13" x14ac:dyDescent="0.2">
      <c r="A19" s="128">
        <v>18</v>
      </c>
      <c r="B19" s="112"/>
      <c r="C19" s="113"/>
      <c r="D19" s="135">
        <f>WORKING!AO62</f>
        <v>0</v>
      </c>
      <c r="E19" s="124"/>
    </row>
    <row r="20" spans="1:13" x14ac:dyDescent="0.2">
      <c r="A20" s="128">
        <v>19</v>
      </c>
      <c r="B20" s="112"/>
      <c r="C20" s="113"/>
      <c r="D20" s="135">
        <f>WORKING!AQ62</f>
        <v>0</v>
      </c>
      <c r="E20" s="124"/>
    </row>
    <row r="21" spans="1:13" x14ac:dyDescent="0.2">
      <c r="A21" s="128">
        <v>20</v>
      </c>
      <c r="B21" s="112"/>
      <c r="C21" s="113"/>
      <c r="D21" s="135">
        <f>WORKING!AS62</f>
        <v>0</v>
      </c>
      <c r="E21" s="124"/>
    </row>
    <row r="22" spans="1:13" x14ac:dyDescent="0.2">
      <c r="A22" s="128">
        <v>21</v>
      </c>
      <c r="B22" s="112"/>
      <c r="C22" s="113"/>
      <c r="D22" s="135">
        <f>WORKING!AU62</f>
        <v>0</v>
      </c>
      <c r="E22" s="124"/>
      <c r="M22" s="176" t="b">
        <v>1</v>
      </c>
    </row>
    <row r="23" spans="1:13" ht="13.5" thickBot="1" x14ac:dyDescent="0.25">
      <c r="A23" s="129">
        <v>22</v>
      </c>
      <c r="B23" s="130"/>
      <c r="C23" s="131"/>
      <c r="D23" s="136">
        <f>WORKING!AW62</f>
        <v>0</v>
      </c>
      <c r="E23" s="124"/>
      <c r="M23" s="176" t="b">
        <v>0</v>
      </c>
    </row>
  </sheetData>
  <sheetProtection sheet="1" objects="1" scenarios="1" selectLockedCells="1"/>
  <mergeCells count="2">
    <mergeCell ref="A1:C1"/>
    <mergeCell ref="J2:K2"/>
  </mergeCells>
  <phoneticPr fontId="20" type="noConversion"/>
  <conditionalFormatting sqref="D2:D23">
    <cfRule type="cellIs" dxfId="0" priority="1" operator="equal">
      <formula>0</formula>
    </cfRule>
  </conditionalFormatting>
  <dataValidations count="1">
    <dataValidation type="list" allowBlank="1" showInputMessage="1" showErrorMessage="1" sqref="L2" xr:uid="{DBE5A87F-3210-4E57-937B-5AA337E28257}">
      <formula1>$M$22:$M$23</formula1>
    </dataValidation>
  </dataValidations>
  <pageMargins left="0.7" right="0.7" top="0.75" bottom="0.75" header="0.3" footer="0.3"/>
  <pageSetup paperSize="9" orientation="portrait" horizontalDpi="0" verticalDpi="0" r:id="rId1"/>
  <colBreaks count="1" manualBreakCount="1">
    <brk id="4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WORKING</vt:lpstr>
      <vt:lpstr>PRICE</vt:lpstr>
      <vt:lpstr>Data</vt:lpstr>
      <vt:lpstr>Crew_Bond_data</vt:lpstr>
      <vt:lpstr>Crew_bond_money</vt:lpstr>
      <vt:lpstr>IntroductionRead</vt:lpstr>
      <vt:lpstr>Price</vt:lpstr>
      <vt:lpstr>Data!Print_Area</vt:lpstr>
      <vt:lpstr>PRICE!Print_Area</vt:lpstr>
      <vt:lpstr>WORKING!Print_Area</vt:lpstr>
      <vt:lpstr>Reps_data</vt:lpstr>
      <vt:lpstr>reps_money</vt:lpstr>
      <vt:lpstr>ROE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DATA</dc:creator>
  <cp:lastModifiedBy>BBC ALBERTA - MAIN</cp:lastModifiedBy>
  <cp:lastPrinted>2026-05-31T14:06:27Z</cp:lastPrinted>
  <dcterms:created xsi:type="dcterms:W3CDTF">2007-03-28T02:07:05Z</dcterms:created>
  <dcterms:modified xsi:type="dcterms:W3CDTF">2026-06-03T15:02:04Z</dcterms:modified>
</cp:coreProperties>
</file>